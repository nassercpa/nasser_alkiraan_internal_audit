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1\Desktop\"/>
    </mc:Choice>
  </mc:AlternateContent>
  <bookViews>
    <workbookView xWindow="-108" yWindow="-108" windowWidth="17364" windowHeight="7020"/>
  </bookViews>
  <sheets>
    <sheet name="ورقة1" sheetId="1" r:id="rId1"/>
  </sheets>
  <definedNames>
    <definedName name="_xlnm._FilterDatabase" localSheetId="0" hidden="1">ورقة1!$A$1:$L$352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2" i="1" l="1"/>
  <c r="I352" i="1" s="1"/>
  <c r="K352" i="1" s="1"/>
  <c r="A352" i="1"/>
  <c r="H351" i="1"/>
  <c r="I351" i="1" s="1"/>
  <c r="K351" i="1" s="1"/>
  <c r="A351" i="1"/>
  <c r="J350" i="1"/>
  <c r="H350" i="1"/>
  <c r="I350" i="1" s="1"/>
  <c r="K350" i="1" s="1"/>
  <c r="A350" i="1"/>
  <c r="H349" i="1"/>
  <c r="I349" i="1" s="1"/>
  <c r="K349" i="1" s="1"/>
  <c r="A349" i="1"/>
  <c r="J348" i="1"/>
  <c r="H348" i="1"/>
  <c r="I348" i="1" s="1"/>
  <c r="A348" i="1"/>
  <c r="J347" i="1"/>
  <c r="H347" i="1"/>
  <c r="I347" i="1" s="1"/>
  <c r="A347" i="1"/>
  <c r="G346" i="1"/>
  <c r="H346" i="1" s="1"/>
  <c r="I346" i="1" s="1"/>
  <c r="K346" i="1" s="1"/>
  <c r="A346" i="1"/>
  <c r="J345" i="1"/>
  <c r="H345" i="1"/>
  <c r="I345" i="1" s="1"/>
  <c r="K345" i="1" s="1"/>
  <c r="A345" i="1"/>
  <c r="J344" i="1"/>
  <c r="H344" i="1"/>
  <c r="I344" i="1" s="1"/>
  <c r="K344" i="1" s="1"/>
  <c r="A344" i="1"/>
  <c r="J343" i="1"/>
  <c r="H343" i="1"/>
  <c r="I343" i="1" s="1"/>
  <c r="K343" i="1" s="1"/>
  <c r="A343" i="1"/>
  <c r="H342" i="1"/>
  <c r="I342" i="1" s="1"/>
  <c r="K342" i="1" s="1"/>
  <c r="A342" i="1"/>
  <c r="J341" i="1"/>
  <c r="H341" i="1"/>
  <c r="I341" i="1" s="1"/>
  <c r="K341" i="1" s="1"/>
  <c r="A341" i="1"/>
  <c r="H340" i="1"/>
  <c r="I340" i="1" s="1"/>
  <c r="K340" i="1" s="1"/>
  <c r="A340" i="1"/>
  <c r="G339" i="1"/>
  <c r="H339" i="1" s="1"/>
  <c r="I339" i="1" s="1"/>
  <c r="K339" i="1" s="1"/>
  <c r="A339" i="1"/>
  <c r="J338" i="1"/>
  <c r="H338" i="1"/>
  <c r="I338" i="1" s="1"/>
  <c r="A338" i="1"/>
  <c r="J337" i="1"/>
  <c r="H337" i="1"/>
  <c r="I337" i="1" s="1"/>
  <c r="A337" i="1"/>
  <c r="J336" i="1"/>
  <c r="H336" i="1"/>
  <c r="I336" i="1" s="1"/>
  <c r="K336" i="1" s="1"/>
  <c r="A336" i="1"/>
  <c r="H335" i="1"/>
  <c r="I335" i="1" s="1"/>
  <c r="K335" i="1" s="1"/>
  <c r="A335" i="1"/>
  <c r="J334" i="1"/>
  <c r="G334" i="1"/>
  <c r="H334" i="1" s="1"/>
  <c r="I334" i="1" s="1"/>
  <c r="K334" i="1" s="1"/>
  <c r="A334" i="1"/>
  <c r="J333" i="1"/>
  <c r="H333" i="1"/>
  <c r="I333" i="1" s="1"/>
  <c r="K333" i="1" s="1"/>
  <c r="A333" i="1"/>
  <c r="J332" i="1"/>
  <c r="H332" i="1"/>
  <c r="I332" i="1" s="1"/>
  <c r="A332" i="1"/>
  <c r="J331" i="1"/>
  <c r="G331" i="1"/>
  <c r="H331" i="1" s="1"/>
  <c r="I331" i="1" s="1"/>
  <c r="K331" i="1" s="1"/>
  <c r="A331" i="1"/>
  <c r="J330" i="1"/>
  <c r="H330" i="1"/>
  <c r="I330" i="1" s="1"/>
  <c r="A330" i="1"/>
  <c r="J329" i="1"/>
  <c r="H329" i="1"/>
  <c r="I329" i="1" s="1"/>
  <c r="A329" i="1"/>
  <c r="J328" i="1"/>
  <c r="H328" i="1"/>
  <c r="I328" i="1" s="1"/>
  <c r="A328" i="1"/>
  <c r="J327" i="1"/>
  <c r="H327" i="1"/>
  <c r="I327" i="1" s="1"/>
  <c r="A327" i="1"/>
  <c r="J326" i="1"/>
  <c r="H326" i="1"/>
  <c r="I326" i="1" s="1"/>
  <c r="A326" i="1"/>
  <c r="J325" i="1"/>
  <c r="H325" i="1"/>
  <c r="I325" i="1" s="1"/>
  <c r="A325" i="1"/>
  <c r="J324" i="1"/>
  <c r="H324" i="1"/>
  <c r="I324" i="1" s="1"/>
  <c r="K324" i="1" s="1"/>
  <c r="A324" i="1"/>
  <c r="J323" i="1"/>
  <c r="H323" i="1"/>
  <c r="I323" i="1" s="1"/>
  <c r="K323" i="1" s="1"/>
  <c r="A323" i="1"/>
  <c r="J322" i="1"/>
  <c r="H322" i="1"/>
  <c r="I322" i="1" s="1"/>
  <c r="K322" i="1" s="1"/>
  <c r="A322" i="1"/>
  <c r="H321" i="1"/>
  <c r="I321" i="1" s="1"/>
  <c r="K321" i="1" s="1"/>
  <c r="A321" i="1"/>
  <c r="J320" i="1"/>
  <c r="H320" i="1"/>
  <c r="I320" i="1" s="1"/>
  <c r="K320" i="1" s="1"/>
  <c r="A320" i="1"/>
  <c r="J319" i="1"/>
  <c r="H319" i="1"/>
  <c r="I319" i="1" s="1"/>
  <c r="A319" i="1"/>
  <c r="J318" i="1"/>
  <c r="H318" i="1"/>
  <c r="I318" i="1" s="1"/>
  <c r="A318" i="1"/>
  <c r="H317" i="1"/>
  <c r="I317" i="1" s="1"/>
  <c r="K317" i="1" s="1"/>
  <c r="A317" i="1"/>
  <c r="H316" i="1"/>
  <c r="I316" i="1" s="1"/>
  <c r="K316" i="1" s="1"/>
  <c r="A316" i="1"/>
  <c r="J315" i="1"/>
  <c r="H315" i="1"/>
  <c r="I315" i="1" s="1"/>
  <c r="K315" i="1" s="1"/>
  <c r="A315" i="1"/>
  <c r="J314" i="1"/>
  <c r="H314" i="1"/>
  <c r="I314" i="1" s="1"/>
  <c r="A314" i="1"/>
  <c r="J313" i="1"/>
  <c r="H313" i="1"/>
  <c r="I313" i="1" s="1"/>
  <c r="A313" i="1"/>
  <c r="J312" i="1"/>
  <c r="H312" i="1"/>
  <c r="I312" i="1" s="1"/>
  <c r="A312" i="1"/>
  <c r="H311" i="1"/>
  <c r="I311" i="1" s="1"/>
  <c r="K311" i="1" s="1"/>
  <c r="A311" i="1"/>
  <c r="J310" i="1"/>
  <c r="H310" i="1"/>
  <c r="I310" i="1" s="1"/>
  <c r="K310" i="1" s="1"/>
  <c r="A310" i="1"/>
  <c r="J309" i="1"/>
  <c r="H309" i="1"/>
  <c r="I309" i="1" s="1"/>
  <c r="K309" i="1" s="1"/>
  <c r="A309" i="1"/>
  <c r="J308" i="1"/>
  <c r="H308" i="1"/>
  <c r="I308" i="1" s="1"/>
  <c r="K308" i="1" s="1"/>
  <c r="A308" i="1"/>
  <c r="J307" i="1"/>
  <c r="H307" i="1"/>
  <c r="I307" i="1" s="1"/>
  <c r="A307" i="1"/>
  <c r="J306" i="1"/>
  <c r="H306" i="1"/>
  <c r="I306" i="1" s="1"/>
  <c r="K306" i="1" s="1"/>
  <c r="A306" i="1"/>
  <c r="H305" i="1"/>
  <c r="I305" i="1" s="1"/>
  <c r="K305" i="1" s="1"/>
  <c r="A305" i="1"/>
  <c r="H304" i="1"/>
  <c r="I304" i="1" s="1"/>
  <c r="K304" i="1" s="1"/>
  <c r="A304" i="1"/>
  <c r="H303" i="1"/>
  <c r="I303" i="1" s="1"/>
  <c r="K303" i="1" s="1"/>
  <c r="A303" i="1"/>
  <c r="J302" i="1"/>
  <c r="H302" i="1"/>
  <c r="I302" i="1" s="1"/>
  <c r="A302" i="1"/>
  <c r="J301" i="1"/>
  <c r="H301" i="1"/>
  <c r="I301" i="1" s="1"/>
  <c r="A301" i="1"/>
  <c r="J300" i="1"/>
  <c r="H300" i="1"/>
  <c r="I300" i="1" s="1"/>
  <c r="K300" i="1" s="1"/>
  <c r="A300" i="1"/>
  <c r="J299" i="1"/>
  <c r="H299" i="1"/>
  <c r="I299" i="1" s="1"/>
  <c r="K299" i="1" s="1"/>
  <c r="A299" i="1"/>
  <c r="J298" i="1"/>
  <c r="H298" i="1"/>
  <c r="I298" i="1" s="1"/>
  <c r="K298" i="1" s="1"/>
  <c r="A298" i="1"/>
  <c r="J297" i="1"/>
  <c r="H297" i="1"/>
  <c r="I297" i="1" s="1"/>
  <c r="K297" i="1" s="1"/>
  <c r="A297" i="1"/>
  <c r="J296" i="1"/>
  <c r="H296" i="1"/>
  <c r="I296" i="1" s="1"/>
  <c r="K296" i="1" s="1"/>
  <c r="A296" i="1"/>
  <c r="J295" i="1"/>
  <c r="H295" i="1"/>
  <c r="I295" i="1" s="1"/>
  <c r="K295" i="1" s="1"/>
  <c r="A295" i="1"/>
  <c r="J294" i="1"/>
  <c r="H294" i="1"/>
  <c r="I294" i="1" s="1"/>
  <c r="K294" i="1" s="1"/>
  <c r="A294" i="1"/>
  <c r="J293" i="1"/>
  <c r="H293" i="1"/>
  <c r="I293" i="1" s="1"/>
  <c r="A293" i="1"/>
  <c r="J292" i="1"/>
  <c r="H292" i="1"/>
  <c r="I292" i="1" s="1"/>
  <c r="K292" i="1" s="1"/>
  <c r="A292" i="1"/>
  <c r="J291" i="1"/>
  <c r="H291" i="1"/>
  <c r="I291" i="1" s="1"/>
  <c r="A291" i="1"/>
  <c r="J290" i="1"/>
  <c r="H290" i="1"/>
  <c r="I290" i="1" s="1"/>
  <c r="A290" i="1"/>
  <c r="J289" i="1"/>
  <c r="H289" i="1"/>
  <c r="I289" i="1" s="1"/>
  <c r="A289" i="1"/>
  <c r="J288" i="1"/>
  <c r="H288" i="1"/>
  <c r="I288" i="1" s="1"/>
  <c r="A288" i="1"/>
  <c r="J287" i="1"/>
  <c r="H287" i="1"/>
  <c r="I287" i="1" s="1"/>
  <c r="K287" i="1" s="1"/>
  <c r="A287" i="1"/>
  <c r="J286" i="1"/>
  <c r="H286" i="1"/>
  <c r="I286" i="1" s="1"/>
  <c r="K286" i="1" s="1"/>
  <c r="A286" i="1"/>
  <c r="J285" i="1"/>
  <c r="H285" i="1"/>
  <c r="I285" i="1" s="1"/>
  <c r="K285" i="1" s="1"/>
  <c r="A285" i="1"/>
  <c r="J284" i="1"/>
  <c r="H284" i="1"/>
  <c r="I284" i="1" s="1"/>
  <c r="K284" i="1" s="1"/>
  <c r="A284" i="1"/>
  <c r="J283" i="1"/>
  <c r="H283" i="1"/>
  <c r="I283" i="1" s="1"/>
  <c r="K283" i="1" s="1"/>
  <c r="A283" i="1"/>
  <c r="J282" i="1"/>
  <c r="H282" i="1"/>
  <c r="I282" i="1" s="1"/>
  <c r="K282" i="1" s="1"/>
  <c r="A282" i="1"/>
  <c r="J281" i="1"/>
  <c r="H281" i="1"/>
  <c r="I281" i="1" s="1"/>
  <c r="K281" i="1" s="1"/>
  <c r="A281" i="1"/>
  <c r="J280" i="1"/>
  <c r="H280" i="1"/>
  <c r="I280" i="1" s="1"/>
  <c r="A280" i="1"/>
  <c r="J279" i="1"/>
  <c r="H279" i="1"/>
  <c r="I279" i="1" s="1"/>
  <c r="K279" i="1" s="1"/>
  <c r="A279" i="1"/>
  <c r="H278" i="1"/>
  <c r="I278" i="1" s="1"/>
  <c r="K278" i="1" s="1"/>
  <c r="A278" i="1"/>
  <c r="J277" i="1"/>
  <c r="H277" i="1"/>
  <c r="I277" i="1" s="1"/>
  <c r="K277" i="1" s="1"/>
  <c r="A277" i="1"/>
  <c r="J276" i="1"/>
  <c r="H276" i="1"/>
  <c r="I276" i="1" s="1"/>
  <c r="K276" i="1" s="1"/>
  <c r="A276" i="1"/>
  <c r="H275" i="1"/>
  <c r="I275" i="1" s="1"/>
  <c r="K275" i="1" s="1"/>
  <c r="A275" i="1"/>
  <c r="H274" i="1"/>
  <c r="I274" i="1" s="1"/>
  <c r="K274" i="1" s="1"/>
  <c r="A274" i="1"/>
  <c r="J273" i="1"/>
  <c r="H273" i="1"/>
  <c r="I273" i="1" s="1"/>
  <c r="K273" i="1" s="1"/>
  <c r="A273" i="1"/>
  <c r="J272" i="1"/>
  <c r="H272" i="1"/>
  <c r="I272" i="1" s="1"/>
  <c r="K272" i="1" s="1"/>
  <c r="A272" i="1"/>
  <c r="J271" i="1"/>
  <c r="H271" i="1"/>
  <c r="I271" i="1" s="1"/>
  <c r="K271" i="1" s="1"/>
  <c r="A271" i="1"/>
  <c r="J270" i="1"/>
  <c r="H270" i="1"/>
  <c r="I270" i="1" s="1"/>
  <c r="K270" i="1" s="1"/>
  <c r="A270" i="1"/>
  <c r="J269" i="1"/>
  <c r="H269" i="1"/>
  <c r="I269" i="1" s="1"/>
  <c r="K269" i="1" s="1"/>
  <c r="J268" i="1"/>
  <c r="H268" i="1"/>
  <c r="I268" i="1" s="1"/>
  <c r="A268" i="1"/>
  <c r="H267" i="1"/>
  <c r="I267" i="1" s="1"/>
  <c r="K267" i="1" s="1"/>
  <c r="A267" i="1"/>
  <c r="J266" i="1"/>
  <c r="H266" i="1"/>
  <c r="I266" i="1" s="1"/>
  <c r="K266" i="1" s="1"/>
  <c r="A266" i="1"/>
  <c r="J265" i="1"/>
  <c r="H265" i="1"/>
  <c r="I265" i="1" s="1"/>
  <c r="K265" i="1" s="1"/>
  <c r="A265" i="1"/>
  <c r="J264" i="1"/>
  <c r="H264" i="1"/>
  <c r="I264" i="1" s="1"/>
  <c r="K264" i="1" s="1"/>
  <c r="A264" i="1"/>
  <c r="J263" i="1"/>
  <c r="G263" i="1"/>
  <c r="H263" i="1" s="1"/>
  <c r="I263" i="1" s="1"/>
  <c r="K263" i="1" s="1"/>
  <c r="A263" i="1"/>
  <c r="J262" i="1"/>
  <c r="H262" i="1"/>
  <c r="I262" i="1" s="1"/>
  <c r="K262" i="1" s="1"/>
  <c r="A262" i="1"/>
  <c r="J261" i="1"/>
  <c r="H261" i="1"/>
  <c r="I261" i="1" s="1"/>
  <c r="A261" i="1"/>
  <c r="J260" i="1"/>
  <c r="H260" i="1"/>
  <c r="I260" i="1" s="1"/>
  <c r="K260" i="1" s="1"/>
  <c r="A260" i="1"/>
  <c r="J259" i="1"/>
  <c r="H259" i="1"/>
  <c r="I259" i="1" s="1"/>
  <c r="A259" i="1"/>
  <c r="J258" i="1"/>
  <c r="H258" i="1"/>
  <c r="I258" i="1" s="1"/>
  <c r="A258" i="1"/>
  <c r="J257" i="1"/>
  <c r="H257" i="1"/>
  <c r="I257" i="1" s="1"/>
  <c r="A257" i="1"/>
  <c r="J256" i="1"/>
  <c r="H256" i="1"/>
  <c r="I256" i="1" s="1"/>
  <c r="A256" i="1"/>
  <c r="J255" i="1"/>
  <c r="H255" i="1"/>
  <c r="I255" i="1" s="1"/>
  <c r="A255" i="1"/>
  <c r="J254" i="1"/>
  <c r="H254" i="1"/>
  <c r="I254" i="1" s="1"/>
  <c r="K254" i="1" s="1"/>
  <c r="A254" i="1"/>
  <c r="J253" i="1"/>
  <c r="H253" i="1"/>
  <c r="I253" i="1" s="1"/>
  <c r="A253" i="1"/>
  <c r="J252" i="1"/>
  <c r="H252" i="1"/>
  <c r="I252" i="1" s="1"/>
  <c r="K252" i="1" s="1"/>
  <c r="A252" i="1"/>
  <c r="H251" i="1"/>
  <c r="I251" i="1" s="1"/>
  <c r="K251" i="1" s="1"/>
  <c r="A251" i="1"/>
  <c r="J250" i="1"/>
  <c r="H250" i="1"/>
  <c r="I250" i="1" s="1"/>
  <c r="A250" i="1"/>
  <c r="J249" i="1"/>
  <c r="H249" i="1"/>
  <c r="I249" i="1" s="1"/>
  <c r="A249" i="1"/>
  <c r="J248" i="1"/>
  <c r="H248" i="1"/>
  <c r="I248" i="1" s="1"/>
  <c r="A248" i="1"/>
  <c r="J247" i="1"/>
  <c r="H247" i="1"/>
  <c r="I247" i="1" s="1"/>
  <c r="A247" i="1"/>
  <c r="J246" i="1"/>
  <c r="G246" i="1"/>
  <c r="H246" i="1" s="1"/>
  <c r="I246" i="1" s="1"/>
  <c r="K246" i="1" s="1"/>
  <c r="A246" i="1"/>
  <c r="J245" i="1"/>
  <c r="H245" i="1"/>
  <c r="I245" i="1" s="1"/>
  <c r="K245" i="1" s="1"/>
  <c r="A245" i="1"/>
  <c r="J244" i="1"/>
  <c r="H244" i="1"/>
  <c r="I244" i="1" s="1"/>
  <c r="K244" i="1" s="1"/>
  <c r="A244" i="1"/>
  <c r="J243" i="1"/>
  <c r="H243" i="1"/>
  <c r="I243" i="1" s="1"/>
  <c r="K243" i="1" s="1"/>
  <c r="A243" i="1"/>
  <c r="J242" i="1"/>
  <c r="H242" i="1"/>
  <c r="I242" i="1" s="1"/>
  <c r="K242" i="1" s="1"/>
  <c r="A242" i="1"/>
  <c r="G241" i="1"/>
  <c r="H241" i="1" s="1"/>
  <c r="I241" i="1" s="1"/>
  <c r="K241" i="1" s="1"/>
  <c r="A241" i="1"/>
  <c r="J240" i="1"/>
  <c r="H240" i="1"/>
  <c r="I240" i="1" s="1"/>
  <c r="A240" i="1"/>
  <c r="J239" i="1"/>
  <c r="H239" i="1"/>
  <c r="I239" i="1" s="1"/>
  <c r="A239" i="1"/>
  <c r="J238" i="1"/>
  <c r="H238" i="1"/>
  <c r="I238" i="1" s="1"/>
  <c r="A238" i="1"/>
  <c r="J237" i="1"/>
  <c r="H237" i="1"/>
  <c r="I237" i="1" s="1"/>
  <c r="A237" i="1"/>
  <c r="J236" i="1"/>
  <c r="H236" i="1"/>
  <c r="I236" i="1" s="1"/>
  <c r="K236" i="1" s="1"/>
  <c r="A236" i="1"/>
  <c r="J235" i="1"/>
  <c r="H235" i="1"/>
  <c r="I235" i="1" s="1"/>
  <c r="K235" i="1" s="1"/>
  <c r="A235" i="1"/>
  <c r="J234" i="1"/>
  <c r="H234" i="1"/>
  <c r="I234" i="1" s="1"/>
  <c r="K234" i="1" s="1"/>
  <c r="A234" i="1"/>
  <c r="J233" i="1"/>
  <c r="H233" i="1"/>
  <c r="I233" i="1" s="1"/>
  <c r="K233" i="1" s="1"/>
  <c r="A233" i="1"/>
  <c r="J232" i="1"/>
  <c r="H232" i="1"/>
  <c r="I232" i="1" s="1"/>
  <c r="K232" i="1" s="1"/>
  <c r="A232" i="1"/>
  <c r="J231" i="1"/>
  <c r="H231" i="1"/>
  <c r="I231" i="1" s="1"/>
  <c r="A231" i="1"/>
  <c r="J230" i="1"/>
  <c r="H230" i="1"/>
  <c r="I230" i="1" s="1"/>
  <c r="A230" i="1"/>
  <c r="J229" i="1"/>
  <c r="H229" i="1"/>
  <c r="I229" i="1" s="1"/>
  <c r="K229" i="1" s="1"/>
  <c r="A229" i="1"/>
  <c r="J228" i="1"/>
  <c r="H228" i="1"/>
  <c r="I228" i="1" s="1"/>
  <c r="A228" i="1"/>
  <c r="J227" i="1"/>
  <c r="H227" i="1"/>
  <c r="I227" i="1" s="1"/>
  <c r="A227" i="1"/>
  <c r="J226" i="1"/>
  <c r="H226" i="1"/>
  <c r="I226" i="1" s="1"/>
  <c r="A226" i="1"/>
  <c r="J225" i="1"/>
  <c r="H225" i="1"/>
  <c r="I225" i="1" s="1"/>
  <c r="A225" i="1"/>
  <c r="J224" i="1"/>
  <c r="H224" i="1"/>
  <c r="I224" i="1" s="1"/>
  <c r="A224" i="1"/>
  <c r="J223" i="1"/>
  <c r="H223" i="1"/>
  <c r="I223" i="1" s="1"/>
  <c r="A223" i="1"/>
  <c r="J222" i="1"/>
  <c r="G222" i="1"/>
  <c r="H222" i="1" s="1"/>
  <c r="I222" i="1" s="1"/>
  <c r="K222" i="1" s="1"/>
  <c r="A222" i="1"/>
  <c r="J221" i="1"/>
  <c r="H221" i="1"/>
  <c r="I221" i="1" s="1"/>
  <c r="K221" i="1" s="1"/>
  <c r="A221" i="1"/>
  <c r="J220" i="1"/>
  <c r="H220" i="1"/>
  <c r="I220" i="1" s="1"/>
  <c r="A220" i="1"/>
  <c r="J219" i="1"/>
  <c r="H219" i="1"/>
  <c r="I219" i="1" s="1"/>
  <c r="K219" i="1" s="1"/>
  <c r="A219" i="1"/>
  <c r="J218" i="1"/>
  <c r="H218" i="1"/>
  <c r="I218" i="1" s="1"/>
  <c r="A218" i="1"/>
  <c r="H217" i="1"/>
  <c r="I217" i="1" s="1"/>
  <c r="K217" i="1" s="1"/>
  <c r="A217" i="1"/>
  <c r="J216" i="1"/>
  <c r="H216" i="1"/>
  <c r="I216" i="1" s="1"/>
  <c r="A216" i="1"/>
  <c r="J215" i="1"/>
  <c r="H215" i="1"/>
  <c r="I215" i="1" s="1"/>
  <c r="A215" i="1"/>
  <c r="J214" i="1"/>
  <c r="H214" i="1"/>
  <c r="I214" i="1" s="1"/>
  <c r="K214" i="1" s="1"/>
  <c r="A214" i="1"/>
  <c r="J213" i="1"/>
  <c r="H213" i="1"/>
  <c r="I213" i="1" s="1"/>
  <c r="K213" i="1" s="1"/>
  <c r="A213" i="1"/>
  <c r="J212" i="1"/>
  <c r="G212" i="1"/>
  <c r="H212" i="1" s="1"/>
  <c r="I212" i="1" s="1"/>
  <c r="K212" i="1" s="1"/>
  <c r="A212" i="1"/>
  <c r="J211" i="1"/>
  <c r="H211" i="1"/>
  <c r="I211" i="1" s="1"/>
  <c r="K211" i="1" s="1"/>
  <c r="A211" i="1"/>
  <c r="J210" i="1"/>
  <c r="H210" i="1"/>
  <c r="I210" i="1" s="1"/>
  <c r="K210" i="1" s="1"/>
  <c r="A210" i="1"/>
  <c r="J209" i="1"/>
  <c r="G209" i="1"/>
  <c r="H209" i="1" s="1"/>
  <c r="I209" i="1" s="1"/>
  <c r="K209" i="1" s="1"/>
  <c r="A209" i="1"/>
  <c r="J208" i="1"/>
  <c r="H208" i="1"/>
  <c r="I208" i="1" s="1"/>
  <c r="A208" i="1"/>
  <c r="J207" i="1"/>
  <c r="H207" i="1"/>
  <c r="I207" i="1" s="1"/>
  <c r="K207" i="1" s="1"/>
  <c r="A207" i="1"/>
  <c r="J206" i="1"/>
  <c r="H206" i="1"/>
  <c r="I206" i="1" s="1"/>
  <c r="A206" i="1"/>
  <c r="J205" i="1"/>
  <c r="H205" i="1"/>
  <c r="I205" i="1" s="1"/>
  <c r="A205" i="1"/>
  <c r="J204" i="1"/>
  <c r="H204" i="1"/>
  <c r="I204" i="1" s="1"/>
  <c r="A204" i="1"/>
  <c r="H203" i="1"/>
  <c r="I203" i="1" s="1"/>
  <c r="K203" i="1" s="1"/>
  <c r="A203" i="1"/>
  <c r="J202" i="1"/>
  <c r="H202" i="1"/>
  <c r="I202" i="1" s="1"/>
  <c r="K202" i="1" s="1"/>
  <c r="A202" i="1"/>
  <c r="H201" i="1"/>
  <c r="I201" i="1" s="1"/>
  <c r="K201" i="1" s="1"/>
  <c r="A201" i="1"/>
  <c r="J200" i="1"/>
  <c r="H200" i="1"/>
  <c r="I200" i="1" s="1"/>
  <c r="A200" i="1"/>
  <c r="J199" i="1"/>
  <c r="H199" i="1"/>
  <c r="I199" i="1" s="1"/>
  <c r="A199" i="1"/>
  <c r="H198" i="1"/>
  <c r="I198" i="1" s="1"/>
  <c r="K198" i="1" s="1"/>
  <c r="A198" i="1"/>
  <c r="J197" i="1"/>
  <c r="H197" i="1"/>
  <c r="I197" i="1" s="1"/>
  <c r="K197" i="1" s="1"/>
  <c r="A197" i="1"/>
  <c r="J196" i="1"/>
  <c r="H196" i="1"/>
  <c r="I196" i="1" s="1"/>
  <c r="K196" i="1" s="1"/>
  <c r="A196" i="1"/>
  <c r="J195" i="1"/>
  <c r="H195" i="1"/>
  <c r="I195" i="1" s="1"/>
  <c r="K195" i="1" s="1"/>
  <c r="A195" i="1"/>
  <c r="J194" i="1"/>
  <c r="H194" i="1"/>
  <c r="I194" i="1" s="1"/>
  <c r="A194" i="1"/>
  <c r="J193" i="1"/>
  <c r="H193" i="1"/>
  <c r="I193" i="1" s="1"/>
  <c r="K193" i="1" s="1"/>
  <c r="A193" i="1"/>
  <c r="H192" i="1"/>
  <c r="I192" i="1" s="1"/>
  <c r="K192" i="1" s="1"/>
  <c r="A192" i="1"/>
  <c r="J191" i="1"/>
  <c r="H191" i="1"/>
  <c r="I191" i="1" s="1"/>
  <c r="K191" i="1" s="1"/>
  <c r="A191" i="1"/>
  <c r="H190" i="1"/>
  <c r="I190" i="1" s="1"/>
  <c r="K190" i="1" s="1"/>
  <c r="A190" i="1"/>
  <c r="J189" i="1"/>
  <c r="H189" i="1"/>
  <c r="I189" i="1" s="1"/>
  <c r="A189" i="1"/>
  <c r="H188" i="1"/>
  <c r="I188" i="1" s="1"/>
  <c r="A188" i="1"/>
  <c r="H187" i="1"/>
  <c r="I187" i="1" s="1"/>
  <c r="J187" i="1" s="1"/>
  <c r="A187" i="1"/>
  <c r="J186" i="1"/>
  <c r="H186" i="1"/>
  <c r="I186" i="1" s="1"/>
  <c r="K186" i="1" s="1"/>
  <c r="A186" i="1"/>
  <c r="J185" i="1"/>
  <c r="H185" i="1"/>
  <c r="I185" i="1" s="1"/>
  <c r="K185" i="1" s="1"/>
  <c r="A185" i="1"/>
  <c r="J184" i="1"/>
  <c r="H184" i="1"/>
  <c r="I184" i="1" s="1"/>
  <c r="A184" i="1"/>
  <c r="J183" i="1"/>
  <c r="H183" i="1"/>
  <c r="I183" i="1" s="1"/>
  <c r="K183" i="1" s="1"/>
  <c r="A183" i="1"/>
  <c r="J182" i="1"/>
  <c r="H182" i="1"/>
  <c r="I182" i="1" s="1"/>
  <c r="A182" i="1"/>
  <c r="J181" i="1"/>
  <c r="H181" i="1"/>
  <c r="I181" i="1" s="1"/>
  <c r="A181" i="1"/>
  <c r="J180" i="1"/>
  <c r="G180" i="1"/>
  <c r="H180" i="1" s="1"/>
  <c r="I180" i="1" s="1"/>
  <c r="A180" i="1"/>
  <c r="H179" i="1"/>
  <c r="I179" i="1" s="1"/>
  <c r="K179" i="1" s="1"/>
  <c r="A179" i="1"/>
  <c r="J178" i="1"/>
  <c r="H178" i="1"/>
  <c r="I178" i="1" s="1"/>
  <c r="K178" i="1" s="1"/>
  <c r="A178" i="1"/>
  <c r="J177" i="1"/>
  <c r="H177" i="1"/>
  <c r="I177" i="1" s="1"/>
  <c r="K177" i="1" s="1"/>
  <c r="A177" i="1"/>
  <c r="J176" i="1"/>
  <c r="H176" i="1"/>
  <c r="I176" i="1" s="1"/>
  <c r="K176" i="1" s="1"/>
  <c r="A176" i="1"/>
  <c r="J175" i="1"/>
  <c r="G175" i="1"/>
  <c r="H175" i="1" s="1"/>
  <c r="I175" i="1" s="1"/>
  <c r="A175" i="1"/>
  <c r="J174" i="1"/>
  <c r="G174" i="1"/>
  <c r="H174" i="1" s="1"/>
  <c r="I174" i="1" s="1"/>
  <c r="K174" i="1" s="1"/>
  <c r="A174" i="1"/>
  <c r="J173" i="1"/>
  <c r="G173" i="1"/>
  <c r="H173" i="1" s="1"/>
  <c r="I173" i="1" s="1"/>
  <c r="A173" i="1"/>
  <c r="H172" i="1"/>
  <c r="I172" i="1" s="1"/>
  <c r="K172" i="1" s="1"/>
  <c r="A172" i="1"/>
  <c r="J171" i="1"/>
  <c r="G171" i="1"/>
  <c r="H171" i="1" s="1"/>
  <c r="I171" i="1" s="1"/>
  <c r="K171" i="1" s="1"/>
  <c r="A171" i="1"/>
  <c r="J170" i="1"/>
  <c r="H170" i="1"/>
  <c r="I170" i="1" s="1"/>
  <c r="K170" i="1" s="1"/>
  <c r="A170" i="1"/>
  <c r="J169" i="1"/>
  <c r="H169" i="1"/>
  <c r="I169" i="1" s="1"/>
  <c r="K169" i="1" s="1"/>
  <c r="A169" i="1"/>
  <c r="J168" i="1"/>
  <c r="H168" i="1"/>
  <c r="I168" i="1" s="1"/>
  <c r="K168" i="1" s="1"/>
  <c r="A168" i="1"/>
  <c r="J167" i="1"/>
  <c r="H167" i="1"/>
  <c r="I167" i="1" s="1"/>
  <c r="K167" i="1" s="1"/>
  <c r="A167" i="1"/>
  <c r="H166" i="1"/>
  <c r="I166" i="1" s="1"/>
  <c r="A166" i="1"/>
  <c r="H165" i="1"/>
  <c r="I165" i="1" s="1"/>
  <c r="A165" i="1"/>
  <c r="H164" i="1"/>
  <c r="I164" i="1" s="1"/>
  <c r="J164" i="1" s="1"/>
  <c r="A164" i="1"/>
  <c r="H163" i="1"/>
  <c r="I163" i="1" s="1"/>
  <c r="A163" i="1"/>
  <c r="H162" i="1"/>
  <c r="I162" i="1" s="1"/>
  <c r="J162" i="1" s="1"/>
  <c r="A162" i="1"/>
  <c r="H161" i="1"/>
  <c r="I161" i="1" s="1"/>
  <c r="A161" i="1"/>
  <c r="H160" i="1"/>
  <c r="I160" i="1" s="1"/>
  <c r="A160" i="1"/>
  <c r="H159" i="1"/>
  <c r="I159" i="1" s="1"/>
  <c r="J159" i="1" s="1"/>
  <c r="K159" i="1" s="1"/>
  <c r="A159" i="1"/>
  <c r="H158" i="1"/>
  <c r="I158" i="1" s="1"/>
  <c r="A158" i="1"/>
  <c r="H157" i="1"/>
  <c r="I157" i="1" s="1"/>
  <c r="A157" i="1"/>
  <c r="H156" i="1"/>
  <c r="I156" i="1" s="1"/>
  <c r="A156" i="1"/>
  <c r="H155" i="1"/>
  <c r="I155" i="1" s="1"/>
  <c r="A155" i="1"/>
  <c r="H154" i="1"/>
  <c r="I154" i="1" s="1"/>
  <c r="A154" i="1"/>
  <c r="H153" i="1"/>
  <c r="I153" i="1" s="1"/>
  <c r="A153" i="1"/>
  <c r="J152" i="1"/>
  <c r="H152" i="1"/>
  <c r="I152" i="1" s="1"/>
  <c r="A152" i="1"/>
  <c r="J151" i="1"/>
  <c r="H151" i="1"/>
  <c r="I151" i="1" s="1"/>
  <c r="A151" i="1"/>
  <c r="H150" i="1"/>
  <c r="I150" i="1" s="1"/>
  <c r="A150" i="1"/>
  <c r="H149" i="1"/>
  <c r="I149" i="1" s="1"/>
  <c r="A149" i="1"/>
  <c r="J148" i="1"/>
  <c r="H148" i="1"/>
  <c r="I148" i="1" s="1"/>
  <c r="A148" i="1"/>
  <c r="J147" i="1"/>
  <c r="H147" i="1"/>
  <c r="I147" i="1" s="1"/>
  <c r="A147" i="1"/>
  <c r="J146" i="1"/>
  <c r="H146" i="1"/>
  <c r="I146" i="1" s="1"/>
  <c r="A146" i="1"/>
  <c r="J145" i="1"/>
  <c r="H145" i="1"/>
  <c r="I145" i="1" s="1"/>
  <c r="K145" i="1" s="1"/>
  <c r="A145" i="1"/>
  <c r="J144" i="1"/>
  <c r="H144" i="1"/>
  <c r="I144" i="1" s="1"/>
  <c r="K144" i="1" s="1"/>
  <c r="A144" i="1"/>
  <c r="H143" i="1"/>
  <c r="I143" i="1" s="1"/>
  <c r="K143" i="1" s="1"/>
  <c r="A143" i="1"/>
  <c r="H142" i="1"/>
  <c r="I142" i="1" s="1"/>
  <c r="K142" i="1" s="1"/>
  <c r="A142" i="1"/>
  <c r="H141" i="1"/>
  <c r="I141" i="1" s="1"/>
  <c r="K141" i="1" s="1"/>
  <c r="A141" i="1"/>
  <c r="J140" i="1"/>
  <c r="H140" i="1"/>
  <c r="I140" i="1" s="1"/>
  <c r="K140" i="1" s="1"/>
  <c r="A140" i="1"/>
  <c r="J139" i="1"/>
  <c r="H139" i="1"/>
  <c r="I139" i="1" s="1"/>
  <c r="K139" i="1" s="1"/>
  <c r="A139" i="1"/>
  <c r="J138" i="1"/>
  <c r="H138" i="1"/>
  <c r="I138" i="1" s="1"/>
  <c r="A138" i="1"/>
  <c r="J137" i="1"/>
  <c r="H137" i="1"/>
  <c r="I137" i="1" s="1"/>
  <c r="K137" i="1" s="1"/>
  <c r="A137" i="1"/>
  <c r="J136" i="1"/>
  <c r="G136" i="1"/>
  <c r="H136" i="1" s="1"/>
  <c r="I136" i="1" s="1"/>
  <c r="A136" i="1"/>
  <c r="J135" i="1"/>
  <c r="H135" i="1"/>
  <c r="I135" i="1" s="1"/>
  <c r="A135" i="1"/>
  <c r="J134" i="1"/>
  <c r="H134" i="1"/>
  <c r="I134" i="1" s="1"/>
  <c r="A134" i="1"/>
  <c r="J133" i="1"/>
  <c r="H133" i="1"/>
  <c r="I133" i="1" s="1"/>
  <c r="A133" i="1"/>
  <c r="J132" i="1"/>
  <c r="H132" i="1"/>
  <c r="I132" i="1" s="1"/>
  <c r="A132" i="1"/>
  <c r="J131" i="1"/>
  <c r="H131" i="1"/>
  <c r="I131" i="1" s="1"/>
  <c r="A131" i="1"/>
  <c r="H130" i="1"/>
  <c r="I130" i="1" s="1"/>
  <c r="A130" i="1"/>
  <c r="H129" i="1"/>
  <c r="I129" i="1" s="1"/>
  <c r="K129" i="1" s="1"/>
  <c r="A129" i="1"/>
  <c r="J128" i="1"/>
  <c r="H128" i="1"/>
  <c r="I128" i="1" s="1"/>
  <c r="A128" i="1"/>
  <c r="J127" i="1"/>
  <c r="H127" i="1"/>
  <c r="I127" i="1" s="1"/>
  <c r="A127" i="1"/>
  <c r="J126" i="1"/>
  <c r="H126" i="1"/>
  <c r="I126" i="1" s="1"/>
  <c r="K126" i="1" s="1"/>
  <c r="A126" i="1"/>
  <c r="J125" i="1"/>
  <c r="H125" i="1"/>
  <c r="I125" i="1" s="1"/>
  <c r="K125" i="1" s="1"/>
  <c r="A125" i="1"/>
  <c r="J124" i="1"/>
  <c r="H124" i="1"/>
  <c r="I124" i="1" s="1"/>
  <c r="K124" i="1" s="1"/>
  <c r="A124" i="1"/>
  <c r="J123" i="1"/>
  <c r="H123" i="1"/>
  <c r="I123" i="1" s="1"/>
  <c r="K123" i="1" s="1"/>
  <c r="A123" i="1"/>
  <c r="J122" i="1"/>
  <c r="H122" i="1"/>
  <c r="I122" i="1" s="1"/>
  <c r="K122" i="1" s="1"/>
  <c r="A122" i="1"/>
  <c r="J121" i="1"/>
  <c r="H121" i="1"/>
  <c r="I121" i="1" s="1"/>
  <c r="K121" i="1" s="1"/>
  <c r="A121" i="1"/>
  <c r="J120" i="1"/>
  <c r="H120" i="1"/>
  <c r="I120" i="1" s="1"/>
  <c r="A120" i="1"/>
  <c r="J119" i="1"/>
  <c r="H119" i="1"/>
  <c r="I119" i="1" s="1"/>
  <c r="K119" i="1" s="1"/>
  <c r="A119" i="1"/>
  <c r="J118" i="1"/>
  <c r="H118" i="1"/>
  <c r="I118" i="1" s="1"/>
  <c r="A118" i="1"/>
  <c r="J117" i="1"/>
  <c r="H117" i="1"/>
  <c r="I117" i="1" s="1"/>
  <c r="A117" i="1"/>
  <c r="G116" i="1"/>
  <c r="H116" i="1" s="1"/>
  <c r="I116" i="1" s="1"/>
  <c r="K116" i="1" s="1"/>
  <c r="A116" i="1"/>
  <c r="J115" i="1"/>
  <c r="H115" i="1"/>
  <c r="I115" i="1" s="1"/>
  <c r="K115" i="1" s="1"/>
  <c r="A115" i="1"/>
  <c r="J114" i="1"/>
  <c r="H114" i="1"/>
  <c r="I114" i="1" s="1"/>
  <c r="A114" i="1"/>
  <c r="J113" i="1"/>
  <c r="H113" i="1"/>
  <c r="I113" i="1" s="1"/>
  <c r="K113" i="1" s="1"/>
  <c r="A113" i="1"/>
  <c r="J112" i="1"/>
  <c r="H112" i="1"/>
  <c r="I112" i="1" s="1"/>
  <c r="A112" i="1"/>
  <c r="J111" i="1"/>
  <c r="G111" i="1"/>
  <c r="H111" i="1" s="1"/>
  <c r="I111" i="1" s="1"/>
  <c r="A111" i="1"/>
  <c r="H110" i="1"/>
  <c r="I110" i="1" s="1"/>
  <c r="K110" i="1" s="1"/>
  <c r="A110" i="1"/>
  <c r="H109" i="1"/>
  <c r="I109" i="1" s="1"/>
  <c r="K109" i="1" s="1"/>
  <c r="A109" i="1"/>
  <c r="J108" i="1"/>
  <c r="H108" i="1"/>
  <c r="I108" i="1" s="1"/>
  <c r="K108" i="1" s="1"/>
  <c r="A108" i="1"/>
  <c r="J107" i="1"/>
  <c r="H107" i="1"/>
  <c r="I107" i="1" s="1"/>
  <c r="A107" i="1"/>
  <c r="J106" i="1"/>
  <c r="H106" i="1"/>
  <c r="I106" i="1" s="1"/>
  <c r="A106" i="1"/>
  <c r="J105" i="1"/>
  <c r="H105" i="1"/>
  <c r="I105" i="1" s="1"/>
  <c r="A105" i="1"/>
  <c r="J104" i="1"/>
  <c r="H104" i="1"/>
  <c r="I104" i="1" s="1"/>
  <c r="A104" i="1"/>
  <c r="G103" i="1"/>
  <c r="H103" i="1" s="1"/>
  <c r="I103" i="1" s="1"/>
  <c r="K103" i="1" s="1"/>
  <c r="A103" i="1"/>
  <c r="J102" i="1"/>
  <c r="H102" i="1"/>
  <c r="I102" i="1" s="1"/>
  <c r="K102" i="1" s="1"/>
  <c r="A102" i="1"/>
  <c r="J101" i="1"/>
  <c r="H101" i="1"/>
  <c r="I101" i="1" s="1"/>
  <c r="K101" i="1" s="1"/>
  <c r="A101" i="1"/>
  <c r="J100" i="1"/>
  <c r="H100" i="1"/>
  <c r="I100" i="1" s="1"/>
  <c r="A100" i="1"/>
  <c r="J99" i="1"/>
  <c r="H99" i="1"/>
  <c r="I99" i="1" s="1"/>
  <c r="K99" i="1" s="1"/>
  <c r="A99" i="1"/>
  <c r="J98" i="1"/>
  <c r="H98" i="1"/>
  <c r="I98" i="1" s="1"/>
  <c r="K98" i="1" s="1"/>
  <c r="A98" i="1"/>
  <c r="J97" i="1"/>
  <c r="H97" i="1"/>
  <c r="I97" i="1" s="1"/>
  <c r="A97" i="1"/>
  <c r="J96" i="1"/>
  <c r="H96" i="1"/>
  <c r="I96" i="1" s="1"/>
  <c r="K96" i="1" s="1"/>
  <c r="A96" i="1"/>
  <c r="J95" i="1"/>
  <c r="H95" i="1"/>
  <c r="I95" i="1" s="1"/>
  <c r="A95" i="1"/>
  <c r="J94" i="1"/>
  <c r="H94" i="1"/>
  <c r="I94" i="1" s="1"/>
  <c r="A94" i="1"/>
  <c r="J93" i="1"/>
  <c r="H93" i="1"/>
  <c r="I93" i="1" s="1"/>
  <c r="K93" i="1" s="1"/>
  <c r="A93" i="1"/>
  <c r="J92" i="1"/>
  <c r="H92" i="1"/>
  <c r="I92" i="1" s="1"/>
  <c r="A92" i="1"/>
  <c r="H91" i="1"/>
  <c r="I91" i="1" s="1"/>
  <c r="K91" i="1" s="1"/>
  <c r="A91" i="1"/>
  <c r="G90" i="1"/>
  <c r="H90" i="1" s="1"/>
  <c r="I90" i="1" s="1"/>
  <c r="K90" i="1" s="1"/>
  <c r="A90" i="1"/>
  <c r="J89" i="1"/>
  <c r="H89" i="1"/>
  <c r="I89" i="1" s="1"/>
  <c r="A89" i="1"/>
  <c r="H88" i="1"/>
  <c r="I88" i="1" s="1"/>
  <c r="K88" i="1" s="1"/>
  <c r="A88" i="1"/>
  <c r="H87" i="1"/>
  <c r="I87" i="1" s="1"/>
  <c r="K87" i="1" s="1"/>
  <c r="A87" i="1"/>
  <c r="H86" i="1"/>
  <c r="I86" i="1" s="1"/>
  <c r="K86" i="1" s="1"/>
  <c r="A86" i="1"/>
  <c r="J85" i="1"/>
  <c r="H85" i="1"/>
  <c r="I85" i="1" s="1"/>
  <c r="K85" i="1" s="1"/>
  <c r="A85" i="1"/>
  <c r="H84" i="1"/>
  <c r="I84" i="1" s="1"/>
  <c r="K84" i="1" s="1"/>
  <c r="A84" i="1"/>
  <c r="H83" i="1"/>
  <c r="I83" i="1" s="1"/>
  <c r="K83" i="1" s="1"/>
  <c r="A83" i="1"/>
  <c r="J82" i="1"/>
  <c r="H82" i="1"/>
  <c r="I82" i="1" s="1"/>
  <c r="K82" i="1" s="1"/>
  <c r="A82" i="1"/>
  <c r="J81" i="1"/>
  <c r="H81" i="1"/>
  <c r="I81" i="1" s="1"/>
  <c r="A81" i="1"/>
  <c r="J80" i="1"/>
  <c r="H80" i="1"/>
  <c r="I80" i="1" s="1"/>
  <c r="K80" i="1" s="1"/>
  <c r="A80" i="1"/>
  <c r="G79" i="1"/>
  <c r="H79" i="1" s="1"/>
  <c r="I79" i="1" s="1"/>
  <c r="K79" i="1" s="1"/>
  <c r="A79" i="1"/>
  <c r="J78" i="1"/>
  <c r="H78" i="1"/>
  <c r="I78" i="1" s="1"/>
  <c r="K78" i="1" s="1"/>
  <c r="A78" i="1"/>
  <c r="H77" i="1"/>
  <c r="I77" i="1" s="1"/>
  <c r="K77" i="1" s="1"/>
  <c r="A77" i="1"/>
  <c r="J76" i="1"/>
  <c r="H76" i="1"/>
  <c r="I76" i="1" s="1"/>
  <c r="A76" i="1"/>
  <c r="H75" i="1"/>
  <c r="I75" i="1" s="1"/>
  <c r="K75" i="1" s="1"/>
  <c r="A75" i="1"/>
  <c r="H74" i="1"/>
  <c r="I74" i="1" s="1"/>
  <c r="K74" i="1" s="1"/>
  <c r="A74" i="1"/>
  <c r="J73" i="1"/>
  <c r="H73" i="1"/>
  <c r="I73" i="1" s="1"/>
  <c r="A73" i="1"/>
  <c r="J72" i="1"/>
  <c r="H72" i="1"/>
  <c r="I72" i="1" s="1"/>
  <c r="K72" i="1" s="1"/>
  <c r="A72" i="1"/>
  <c r="J71" i="1"/>
  <c r="H71" i="1"/>
  <c r="I71" i="1" s="1"/>
  <c r="A71" i="1"/>
  <c r="G70" i="1"/>
  <c r="H70" i="1" s="1"/>
  <c r="I70" i="1" s="1"/>
  <c r="K70" i="1" s="1"/>
  <c r="A70" i="1"/>
  <c r="H69" i="1"/>
  <c r="I69" i="1" s="1"/>
  <c r="K69" i="1" s="1"/>
  <c r="A69" i="1"/>
  <c r="H68" i="1"/>
  <c r="I68" i="1" s="1"/>
  <c r="K68" i="1" s="1"/>
  <c r="A68" i="1"/>
  <c r="H67" i="1"/>
  <c r="I67" i="1" s="1"/>
  <c r="K67" i="1" s="1"/>
  <c r="A67" i="1"/>
  <c r="H66" i="1"/>
  <c r="I66" i="1" s="1"/>
  <c r="K66" i="1" s="1"/>
  <c r="A66" i="1"/>
  <c r="J65" i="1"/>
  <c r="H65" i="1"/>
  <c r="I65" i="1" s="1"/>
  <c r="A65" i="1"/>
  <c r="J64" i="1"/>
  <c r="H64" i="1"/>
  <c r="I64" i="1" s="1"/>
  <c r="K64" i="1" s="1"/>
  <c r="A64" i="1"/>
  <c r="H63" i="1"/>
  <c r="I63" i="1" s="1"/>
  <c r="K63" i="1" s="1"/>
  <c r="A63" i="1"/>
  <c r="H62" i="1"/>
  <c r="I62" i="1" s="1"/>
  <c r="K62" i="1" s="1"/>
  <c r="A62" i="1"/>
  <c r="J61" i="1"/>
  <c r="H61" i="1"/>
  <c r="I61" i="1" s="1"/>
  <c r="K61" i="1" s="1"/>
  <c r="A61" i="1"/>
  <c r="J60" i="1"/>
  <c r="G60" i="1"/>
  <c r="H60" i="1" s="1"/>
  <c r="I60" i="1" s="1"/>
  <c r="A60" i="1"/>
  <c r="H59" i="1"/>
  <c r="I59" i="1" s="1"/>
  <c r="K59" i="1" s="1"/>
  <c r="A59" i="1"/>
  <c r="H58" i="1"/>
  <c r="I58" i="1" s="1"/>
  <c r="K58" i="1" s="1"/>
  <c r="A58" i="1"/>
  <c r="J57" i="1"/>
  <c r="H57" i="1"/>
  <c r="I57" i="1" s="1"/>
  <c r="A57" i="1"/>
  <c r="J56" i="1"/>
  <c r="H56" i="1"/>
  <c r="I56" i="1" s="1"/>
  <c r="K56" i="1" s="1"/>
  <c r="A56" i="1"/>
  <c r="G55" i="1"/>
  <c r="H55" i="1" s="1"/>
  <c r="I55" i="1" s="1"/>
  <c r="K55" i="1" s="1"/>
  <c r="A55" i="1"/>
  <c r="G54" i="1"/>
  <c r="H54" i="1" s="1"/>
  <c r="I54" i="1" s="1"/>
  <c r="K54" i="1" s="1"/>
  <c r="A54" i="1"/>
  <c r="G53" i="1"/>
  <c r="H53" i="1" s="1"/>
  <c r="I53" i="1" s="1"/>
  <c r="K53" i="1" s="1"/>
  <c r="A53" i="1"/>
  <c r="G52" i="1"/>
  <c r="H52" i="1" s="1"/>
  <c r="I52" i="1" s="1"/>
  <c r="K52" i="1" s="1"/>
  <c r="A52" i="1"/>
  <c r="J51" i="1"/>
  <c r="H51" i="1"/>
  <c r="I51" i="1" s="1"/>
  <c r="K51" i="1" s="1"/>
  <c r="A51" i="1"/>
  <c r="J50" i="1"/>
  <c r="H50" i="1"/>
  <c r="I50" i="1" s="1"/>
  <c r="A50" i="1"/>
  <c r="H49" i="1"/>
  <c r="I49" i="1" s="1"/>
  <c r="K49" i="1" s="1"/>
  <c r="A49" i="1"/>
  <c r="H48" i="1"/>
  <c r="I48" i="1" s="1"/>
  <c r="K48" i="1" s="1"/>
  <c r="A48" i="1"/>
  <c r="H47" i="1"/>
  <c r="I47" i="1" s="1"/>
  <c r="K47" i="1" s="1"/>
  <c r="A47" i="1"/>
  <c r="H46" i="1"/>
  <c r="I46" i="1" s="1"/>
  <c r="K46" i="1" s="1"/>
  <c r="A46" i="1"/>
  <c r="J45" i="1"/>
  <c r="H45" i="1"/>
  <c r="I45" i="1" s="1"/>
  <c r="K45" i="1" s="1"/>
  <c r="A45" i="1"/>
  <c r="J44" i="1"/>
  <c r="H44" i="1"/>
  <c r="I44" i="1" s="1"/>
  <c r="K44" i="1" s="1"/>
  <c r="A44" i="1"/>
  <c r="J43" i="1"/>
  <c r="G43" i="1"/>
  <c r="H43" i="1" s="1"/>
  <c r="I43" i="1" s="1"/>
  <c r="K43" i="1" s="1"/>
  <c r="A43" i="1"/>
  <c r="J42" i="1"/>
  <c r="G42" i="1"/>
  <c r="H42" i="1" s="1"/>
  <c r="I42" i="1" s="1"/>
  <c r="A42" i="1"/>
  <c r="J41" i="1"/>
  <c r="H41" i="1"/>
  <c r="I41" i="1" s="1"/>
  <c r="K41" i="1" s="1"/>
  <c r="A41" i="1"/>
  <c r="H40" i="1"/>
  <c r="I40" i="1" s="1"/>
  <c r="K40" i="1" s="1"/>
  <c r="A40" i="1"/>
  <c r="J39" i="1"/>
  <c r="H39" i="1"/>
  <c r="I39" i="1" s="1"/>
  <c r="A39" i="1"/>
  <c r="J38" i="1"/>
  <c r="H38" i="1"/>
  <c r="I38" i="1" s="1"/>
  <c r="K38" i="1" s="1"/>
  <c r="A38" i="1"/>
  <c r="G37" i="1"/>
  <c r="H37" i="1" s="1"/>
  <c r="I37" i="1" s="1"/>
  <c r="K37" i="1" s="1"/>
  <c r="A37" i="1"/>
  <c r="H36" i="1"/>
  <c r="I36" i="1" s="1"/>
  <c r="K36" i="1" s="1"/>
  <c r="A36" i="1"/>
  <c r="J35" i="1"/>
  <c r="H35" i="1"/>
  <c r="I35" i="1" s="1"/>
  <c r="A35" i="1"/>
  <c r="J34" i="1"/>
  <c r="H34" i="1"/>
  <c r="I34" i="1" s="1"/>
  <c r="A34" i="1"/>
  <c r="J33" i="1"/>
  <c r="H33" i="1"/>
  <c r="I33" i="1" s="1"/>
  <c r="K33" i="1" s="1"/>
  <c r="A33" i="1"/>
  <c r="J32" i="1"/>
  <c r="H32" i="1"/>
  <c r="I32" i="1" s="1"/>
  <c r="K32" i="1" s="1"/>
  <c r="A32" i="1"/>
  <c r="H31" i="1"/>
  <c r="I31" i="1" s="1"/>
  <c r="K31" i="1" s="1"/>
  <c r="A31" i="1"/>
  <c r="H30" i="1"/>
  <c r="I30" i="1" s="1"/>
  <c r="K30" i="1" s="1"/>
  <c r="A30" i="1"/>
  <c r="H29" i="1"/>
  <c r="I29" i="1" s="1"/>
  <c r="K29" i="1" s="1"/>
  <c r="A29" i="1"/>
  <c r="H28" i="1"/>
  <c r="I28" i="1" s="1"/>
  <c r="K28" i="1" s="1"/>
  <c r="A28" i="1"/>
  <c r="J27" i="1"/>
  <c r="H27" i="1"/>
  <c r="I27" i="1" s="1"/>
  <c r="A27" i="1"/>
  <c r="J26" i="1"/>
  <c r="H26" i="1"/>
  <c r="I26" i="1" s="1"/>
  <c r="A26" i="1"/>
  <c r="I25" i="1"/>
  <c r="K25" i="1" s="1"/>
  <c r="A25" i="1"/>
  <c r="H24" i="1"/>
  <c r="I24" i="1" s="1"/>
  <c r="K24" i="1" s="1"/>
  <c r="A24" i="1"/>
  <c r="H23" i="1"/>
  <c r="I23" i="1" s="1"/>
  <c r="K23" i="1" s="1"/>
  <c r="A23" i="1"/>
  <c r="H22" i="1"/>
  <c r="I22" i="1" s="1"/>
  <c r="K22" i="1" s="1"/>
  <c r="A22" i="1"/>
  <c r="H21" i="1"/>
  <c r="I21" i="1" s="1"/>
  <c r="K21" i="1" s="1"/>
  <c r="A21" i="1"/>
  <c r="H20" i="1"/>
  <c r="I20" i="1" s="1"/>
  <c r="K20" i="1" s="1"/>
  <c r="A20" i="1"/>
  <c r="H19" i="1"/>
  <c r="I19" i="1" s="1"/>
  <c r="K19" i="1" s="1"/>
  <c r="A19" i="1"/>
  <c r="H18" i="1"/>
  <c r="I18" i="1" s="1"/>
  <c r="A18" i="1"/>
  <c r="H17" i="1"/>
  <c r="I17" i="1" s="1"/>
  <c r="A17" i="1"/>
  <c r="H16" i="1"/>
  <c r="I16" i="1" s="1"/>
  <c r="A16" i="1"/>
  <c r="H15" i="1"/>
  <c r="I15" i="1" s="1"/>
  <c r="A15" i="1"/>
  <c r="J14" i="1"/>
  <c r="H14" i="1"/>
  <c r="I14" i="1" s="1"/>
  <c r="K14" i="1" s="1"/>
  <c r="A14" i="1"/>
  <c r="H13" i="1"/>
  <c r="I13" i="1" s="1"/>
  <c r="K13" i="1" s="1"/>
  <c r="A13" i="1"/>
  <c r="J12" i="1"/>
  <c r="H12" i="1"/>
  <c r="I12" i="1" s="1"/>
  <c r="A12" i="1"/>
  <c r="J11" i="1"/>
  <c r="H11" i="1"/>
  <c r="I11" i="1" s="1"/>
  <c r="K11" i="1" s="1"/>
  <c r="A11" i="1"/>
  <c r="J10" i="1"/>
  <c r="H10" i="1"/>
  <c r="I10" i="1" s="1"/>
  <c r="A10" i="1"/>
  <c r="H9" i="1"/>
  <c r="I9" i="1" s="1"/>
  <c r="K9" i="1" s="1"/>
  <c r="A9" i="1"/>
  <c r="H8" i="1"/>
  <c r="I8" i="1" s="1"/>
  <c r="A8" i="1"/>
  <c r="J7" i="1"/>
  <c r="H7" i="1"/>
  <c r="I7" i="1" s="1"/>
  <c r="A7" i="1"/>
  <c r="H6" i="1"/>
  <c r="I6" i="1" s="1"/>
  <c r="A6" i="1"/>
  <c r="H5" i="1"/>
  <c r="I5" i="1" s="1"/>
  <c r="A5" i="1"/>
  <c r="H4" i="1"/>
  <c r="I4" i="1" s="1"/>
  <c r="A4" i="1"/>
  <c r="H3" i="1"/>
  <c r="I3" i="1" s="1"/>
  <c r="A3" i="1"/>
  <c r="H2" i="1"/>
  <c r="I2" i="1" s="1"/>
  <c r="A2" i="1"/>
  <c r="K329" i="1" l="1"/>
  <c r="K338" i="1"/>
  <c r="K348" i="1"/>
  <c r="K34" i="1"/>
  <c r="K39" i="1"/>
  <c r="K60" i="1"/>
  <c r="K65" i="1"/>
  <c r="K81" i="1"/>
  <c r="K92" i="1"/>
  <c r="K128" i="1"/>
  <c r="K147" i="1"/>
  <c r="K152" i="1"/>
  <c r="K216" i="1"/>
  <c r="K225" i="1"/>
  <c r="K238" i="1"/>
  <c r="K256" i="1"/>
  <c r="K288" i="1"/>
  <c r="K301" i="1"/>
  <c r="K325" i="1"/>
  <c r="K7" i="1"/>
  <c r="K12" i="1"/>
  <c r="K50" i="1"/>
  <c r="K97" i="1"/>
  <c r="K138" i="1"/>
  <c r="K175" i="1"/>
  <c r="K189" i="1"/>
  <c r="K208" i="1"/>
  <c r="K230" i="1"/>
  <c r="K261" i="1"/>
  <c r="K280" i="1"/>
  <c r="K293" i="1"/>
  <c r="K307" i="1"/>
  <c r="K134" i="1"/>
  <c r="K148" i="1"/>
  <c r="K180" i="1"/>
  <c r="K199" i="1"/>
  <c r="K204" i="1"/>
  <c r="K226" i="1"/>
  <c r="K248" i="1"/>
  <c r="K257" i="1"/>
  <c r="K289" i="1"/>
  <c r="K302" i="1"/>
  <c r="K312" i="1"/>
  <c r="K326" i="1"/>
  <c r="K26" i="1"/>
  <c r="K57" i="1"/>
  <c r="K73" i="1"/>
  <c r="K89" i="1"/>
  <c r="K94" i="1"/>
  <c r="K117" i="1"/>
  <c r="K135" i="1"/>
  <c r="K181" i="1"/>
  <c r="K200" i="1"/>
  <c r="K205" i="1"/>
  <c r="K227" i="1"/>
  <c r="K240" i="1"/>
  <c r="K249" i="1"/>
  <c r="K258" i="1"/>
  <c r="K290" i="1"/>
  <c r="K313" i="1"/>
  <c r="K318" i="1"/>
  <c r="K327" i="1"/>
  <c r="K42" i="1"/>
  <c r="K10" i="1"/>
  <c r="K27" i="1"/>
  <c r="K95" i="1"/>
  <c r="K104" i="1"/>
  <c r="K136" i="1"/>
  <c r="K173" i="1"/>
  <c r="K206" i="1"/>
  <c r="K228" i="1"/>
  <c r="K106" i="1"/>
  <c r="K111" i="1"/>
  <c r="K218" i="1"/>
  <c r="K35" i="1"/>
  <c r="K71" i="1"/>
  <c r="K76" i="1"/>
  <c r="K100" i="1"/>
  <c r="K114" i="1"/>
  <c r="K127" i="1"/>
  <c r="K132" i="1"/>
  <c r="K146" i="1"/>
  <c r="K151" i="1"/>
  <c r="K215" i="1"/>
  <c r="K224" i="1"/>
  <c r="K250" i="1"/>
  <c r="K259" i="1"/>
  <c r="K268" i="1"/>
  <c r="K314" i="1"/>
  <c r="K328" i="1"/>
  <c r="K332" i="1"/>
  <c r="K182" i="1"/>
  <c r="K187" i="1"/>
  <c r="K231" i="1"/>
  <c r="J157" i="1"/>
  <c r="K157" i="1" s="1"/>
  <c r="J154" i="1"/>
  <c r="K154" i="1" s="1"/>
  <c r="K120" i="1"/>
  <c r="K337" i="1"/>
  <c r="K105" i="1"/>
  <c r="K184" i="1"/>
  <c r="K347" i="1"/>
  <c r="K239" i="1"/>
  <c r="K118" i="1"/>
  <c r="K133" i="1"/>
  <c r="K237" i="1"/>
  <c r="K253" i="1"/>
  <c r="K247" i="1"/>
  <c r="K255" i="1"/>
  <c r="K319" i="1"/>
  <c r="K194" i="1"/>
  <c r="K223" i="1"/>
  <c r="K107" i="1"/>
  <c r="K131" i="1"/>
  <c r="K291" i="1"/>
  <c r="K112" i="1"/>
  <c r="K220" i="1"/>
  <c r="J161" i="1"/>
  <c r="K161" i="1" s="1"/>
  <c r="J158" i="1"/>
  <c r="K158" i="1" s="1"/>
  <c r="K164" i="1"/>
  <c r="J130" i="1"/>
  <c r="K130" i="1" s="1"/>
  <c r="J166" i="1"/>
  <c r="K166" i="1" s="1"/>
  <c r="K2" i="1"/>
  <c r="J188" i="1"/>
  <c r="K188" i="1" s="1"/>
  <c r="K162" i="1"/>
  <c r="J160" i="1"/>
  <c r="K160" i="1" s="1"/>
  <c r="J165" i="1"/>
  <c r="K165" i="1" s="1"/>
  <c r="J155" i="1"/>
  <c r="K155" i="1" s="1"/>
  <c r="J156" i="1"/>
  <c r="K156" i="1" s="1"/>
  <c r="J153" i="1"/>
  <c r="K153" i="1" s="1"/>
  <c r="J149" i="1"/>
  <c r="K149" i="1" s="1"/>
  <c r="J163" i="1"/>
  <c r="K163" i="1" s="1"/>
  <c r="J150" i="1"/>
  <c r="K330" i="1"/>
  <c r="K150" i="1" l="1"/>
</calcChain>
</file>

<file path=xl/comments1.xml><?xml version="1.0" encoding="utf-8"?>
<comments xmlns="http://schemas.openxmlformats.org/spreadsheetml/2006/main">
  <authors>
    <author>Ahmed R. Fawzy</author>
    <author/>
    <author>Amr Abdel-hamed</author>
  </authors>
  <commentList>
    <comment ref="J4" authorId="0" shapeId="0">
      <text>
        <r>
          <rPr>
            <b/>
            <sz val="9"/>
            <color indexed="81"/>
            <rFont val="Tahoma"/>
            <family val="2"/>
          </rPr>
          <t>Ahmed R. Fawzy:</t>
        </r>
        <r>
          <rPr>
            <sz val="9"/>
            <color indexed="81"/>
            <rFont val="Tahoma"/>
            <family val="2"/>
          </rPr>
          <t xml:space="preserve">
تم التحصيل في 28/7/2019 
واثبت  الصافي ايراد في الفترة السابقة </t>
        </r>
      </text>
    </comment>
    <comment ref="J37" authorId="1" shapeId="0">
      <text>
        <r>
          <rPr>
            <sz val="10"/>
            <color rgb="FF000000"/>
            <rFont val="Calibri"/>
            <family val="2"/>
            <scheme val="minor"/>
          </rPr>
          <t>نقدا سند قبض 450 بتاريخ 18 يناير 2021
	-Ahmed Fawzy</t>
        </r>
      </text>
    </comment>
    <comment ref="J39" authorId="1" shapeId="0">
      <text>
        <r>
          <rPr>
            <sz val="10"/>
            <color rgb="FF000000"/>
            <rFont val="Calibri"/>
            <family val="2"/>
            <scheme val="minor"/>
          </rPr>
          <t>حوالة بتاريخ 10/1/2022
	-Ahmed Fawzy</t>
        </r>
      </text>
    </comment>
    <comment ref="J61" authorId="2" shapeId="0">
      <text>
        <r>
          <rPr>
            <b/>
            <sz val="9"/>
            <color indexed="81"/>
            <rFont val="Tahoma"/>
            <family val="2"/>
          </rPr>
          <t>Amr Abdel-hamed:</t>
        </r>
        <r>
          <rPr>
            <sz val="9"/>
            <color indexed="81"/>
            <rFont val="Tahoma"/>
            <family val="2"/>
          </rPr>
          <t xml:space="preserve">
تم سداد 2000ريال كاش والباقي عمولة+ تحويل 2250 ريال قيمة الضريبة
</t>
        </r>
      </text>
    </comment>
    <comment ref="J64" authorId="1" shapeId="0">
      <text>
        <r>
          <rPr>
            <sz val="10"/>
            <color rgb="FF000000"/>
            <rFont val="Calibri"/>
            <family val="2"/>
            <scheme val="minor"/>
          </rPr>
          <t>تم تحويل 1800 ريال باقي اتعاب
	-Ahmed Fawzy</t>
        </r>
      </text>
    </comment>
  </commentList>
</comments>
</file>

<file path=xl/sharedStrings.xml><?xml version="1.0" encoding="utf-8"?>
<sst xmlns="http://schemas.openxmlformats.org/spreadsheetml/2006/main" count="1164" uniqueCount="588">
  <si>
    <t>كود الملف</t>
  </si>
  <si>
    <t>رقم السجل</t>
  </si>
  <si>
    <t xml:space="preserve">تاريخ العقد </t>
  </si>
  <si>
    <t xml:space="preserve">رقم العقد </t>
  </si>
  <si>
    <t>اسم العميل</t>
  </si>
  <si>
    <t>السنة المالية</t>
  </si>
  <si>
    <t xml:space="preserve">القيمة </t>
  </si>
  <si>
    <t xml:space="preserve">الضريبة </t>
  </si>
  <si>
    <t xml:space="preserve">الاجمالي </t>
  </si>
  <si>
    <t xml:space="preserve">المحصل </t>
  </si>
  <si>
    <t xml:space="preserve">المتبقي </t>
  </si>
  <si>
    <t>حالة العقد</t>
  </si>
  <si>
    <t>مؤسسة علوم الحياة الدولية</t>
  </si>
  <si>
    <t>منتهي</t>
  </si>
  <si>
    <t xml:space="preserve">مجموعة التنمية للمقاولات </t>
  </si>
  <si>
    <t>ملغي</t>
  </si>
  <si>
    <t>103-01-2019</t>
  </si>
  <si>
    <t xml:space="preserve">شركة الرؤية السعودية الاولي </t>
  </si>
  <si>
    <t>103-03-2019</t>
  </si>
  <si>
    <t xml:space="preserve">شركة انا  السعودية المحدودة </t>
  </si>
  <si>
    <t>103-20-2020</t>
  </si>
  <si>
    <t xml:space="preserve">مؤسسة مازن للتجهيزات الصناعية </t>
  </si>
  <si>
    <t>تصفية بتاريخ 21-8-2023</t>
  </si>
  <si>
    <t>103-24-2020</t>
  </si>
  <si>
    <t xml:space="preserve">شركة نفود الطبية للتجارة </t>
  </si>
  <si>
    <t>103-31-2020</t>
  </si>
  <si>
    <t xml:space="preserve">الشركة العربية للأنظمة التجارية </t>
  </si>
  <si>
    <t>تصفية بتاريخ 6 ابريل 2024</t>
  </si>
  <si>
    <t>103-43-2020</t>
  </si>
  <si>
    <t xml:space="preserve">شركة سبل العالمية للاستثمار </t>
  </si>
  <si>
    <t>103-51-2020</t>
  </si>
  <si>
    <t xml:space="preserve">شركة مرامس المحدودة </t>
  </si>
  <si>
    <t>103-70-2021</t>
  </si>
  <si>
    <t xml:space="preserve">مؤسسة عبد الله علي الرشيد للتجارة </t>
  </si>
  <si>
    <t>103-75-2021</t>
  </si>
  <si>
    <t xml:space="preserve">شركة مياه ابها المحدودة </t>
  </si>
  <si>
    <t>103-76-2021</t>
  </si>
  <si>
    <t>تصفية بتاريخ 10مارس2024</t>
  </si>
  <si>
    <t>103-78-2021</t>
  </si>
  <si>
    <t xml:space="preserve">شركة البون الابداعي للاتصالات وتقنية المعلومات </t>
  </si>
  <si>
    <t>مؤسسة قمر العروبة</t>
  </si>
  <si>
    <t>مكرر</t>
  </si>
  <si>
    <t>103-39-2020</t>
  </si>
  <si>
    <t xml:space="preserve">شركة مجموعة هنوف </t>
  </si>
  <si>
    <t>103-41-2020</t>
  </si>
  <si>
    <t xml:space="preserve">شركة البهيان للتجارة و المقاولات </t>
  </si>
  <si>
    <t xml:space="preserve">شركة جهات الاعمال للتجارة والمقاولات </t>
  </si>
  <si>
    <t xml:space="preserve">شركة صلت للمقاولات </t>
  </si>
  <si>
    <t>103-82-2020</t>
  </si>
  <si>
    <t xml:space="preserve">الشركة العربية للانظمة التجارية </t>
  </si>
  <si>
    <t xml:space="preserve">شركة صلة للخدمات الرقمية </t>
  </si>
  <si>
    <t xml:space="preserve">شركة معدات الطرق للتجارة </t>
  </si>
  <si>
    <t xml:space="preserve">شركة اثراء الحياه للعقارات </t>
  </si>
  <si>
    <t>2021مراجعه</t>
  </si>
  <si>
    <t>شركة صلة للاستثمار الصناعي - اثبت ايراد الدفعة الاولي 30-9-2021</t>
  </si>
  <si>
    <t>103-87-2021</t>
  </si>
  <si>
    <t xml:space="preserve">شركة العرين للضيافة </t>
  </si>
  <si>
    <t>2020مراجعه</t>
  </si>
  <si>
    <t>103-89-2021</t>
  </si>
  <si>
    <t xml:space="preserve">مدارس الفال المميز الاهلية </t>
  </si>
  <si>
    <t>103/91/2021</t>
  </si>
  <si>
    <t xml:space="preserve">مؤسسة ترميز الرقمية التجارية </t>
  </si>
  <si>
    <t>15/12/2021</t>
  </si>
  <si>
    <t>R103/92/2021</t>
  </si>
  <si>
    <t>شركة أجواخ الكويت للتجارة</t>
  </si>
  <si>
    <t>2019مراجعه</t>
  </si>
  <si>
    <t>26/12/2021</t>
  </si>
  <si>
    <t>R103/94/2021</t>
  </si>
  <si>
    <t>شركة الجهات الأربعة العالمية التجارية</t>
  </si>
  <si>
    <t>30/12/2021</t>
  </si>
  <si>
    <t>103/95/2021</t>
  </si>
  <si>
    <t xml:space="preserve">شركة زاوية رايز لتقديم الوجبات شركة شخص واحد </t>
  </si>
  <si>
    <t>103/96/2022</t>
  </si>
  <si>
    <t xml:space="preserve">وكالة تاج الماسة للسفر والسياحة </t>
  </si>
  <si>
    <t>2021تقرير</t>
  </si>
  <si>
    <t>103/97/2022</t>
  </si>
  <si>
    <t xml:space="preserve">شركة جزال العربية التجارية </t>
  </si>
  <si>
    <t>103/98/2022</t>
  </si>
  <si>
    <t xml:space="preserve">شركة تقنية السيارة المحدودة </t>
  </si>
  <si>
    <t>103/99/2022</t>
  </si>
  <si>
    <t xml:space="preserve">مؤسسة نعومي الخليج للتجارة </t>
  </si>
  <si>
    <t xml:space="preserve">تقرير </t>
  </si>
  <si>
    <t>103/100/2022</t>
  </si>
  <si>
    <t>16/1/2022</t>
  </si>
  <si>
    <t>103/101/2022</t>
  </si>
  <si>
    <t xml:space="preserve">شركة مربع الاعمال العقارية القابضة </t>
  </si>
  <si>
    <t>103/102/2022</t>
  </si>
  <si>
    <t xml:space="preserve">شركة الغذاء الدولي للتجارة </t>
  </si>
  <si>
    <t>18/1/2022</t>
  </si>
  <si>
    <t>103/103/2022</t>
  </si>
  <si>
    <t xml:space="preserve">شركة زاوية رايز لتقديم الوجبات </t>
  </si>
  <si>
    <t>103/104/2022</t>
  </si>
  <si>
    <t>103/105/2022</t>
  </si>
  <si>
    <t xml:space="preserve">مصنع سعد سعيد الزهراني للصناعة </t>
  </si>
  <si>
    <t>20/1/2022</t>
  </si>
  <si>
    <t>103/106/2022</t>
  </si>
  <si>
    <t>22/1/2022</t>
  </si>
  <si>
    <t>103/107/2022</t>
  </si>
  <si>
    <t xml:space="preserve">مكتب عبد الرحمن الحمدان للاستشارات الهندسية </t>
  </si>
  <si>
    <t>103/108/2022</t>
  </si>
  <si>
    <t xml:space="preserve">شركة جهات الاعمال للتجارة و المقاولات والعقارات </t>
  </si>
  <si>
    <t>26/1/2022</t>
  </si>
  <si>
    <t>103/109/2022</t>
  </si>
  <si>
    <t xml:space="preserve">مؤسسة مرابي الوشم للتجارة </t>
  </si>
  <si>
    <t>31/1/2022</t>
  </si>
  <si>
    <t>103/110/2022</t>
  </si>
  <si>
    <t xml:space="preserve">مؤسسة ركن الحامس للتجارة </t>
  </si>
  <si>
    <t>103/111/2022</t>
  </si>
  <si>
    <t xml:space="preserve">مؤسسة الجازم للمقاولات </t>
  </si>
  <si>
    <t>13/2/2022</t>
  </si>
  <si>
    <t>103/112/2022</t>
  </si>
  <si>
    <t xml:space="preserve">مؤسسة المواد التطويرية والصناعه و الديكور </t>
  </si>
  <si>
    <t>103/113/2022</t>
  </si>
  <si>
    <t xml:space="preserve">شركة زاد العميد المحدودة </t>
  </si>
  <si>
    <t>تصفية بتاريخ 19-2-2024</t>
  </si>
  <si>
    <t>103/114/2022</t>
  </si>
  <si>
    <t xml:space="preserve">شركة  مطاعم ومطابخ زاوية العميد </t>
  </si>
  <si>
    <t>تصفية بتاريخ 25 يونيو 2024</t>
  </si>
  <si>
    <t>103/115/2022</t>
  </si>
  <si>
    <t xml:space="preserve">مؤسسة ترميز الرقمية </t>
  </si>
  <si>
    <t>103/116/2022</t>
  </si>
  <si>
    <t>15/2/2022</t>
  </si>
  <si>
    <t>103/117/2022</t>
  </si>
  <si>
    <t xml:space="preserve">شركة دسمان للاتصالات وتقنيه المعلومات </t>
  </si>
  <si>
    <t>103/118/2022</t>
  </si>
  <si>
    <t>شركة وفاء الوطنيه للاستثمار</t>
  </si>
  <si>
    <t>16/2/2022</t>
  </si>
  <si>
    <t>103/119/2022</t>
  </si>
  <si>
    <t>مؤسسه دار اديم التجاريه</t>
  </si>
  <si>
    <t>103/120/2022</t>
  </si>
  <si>
    <t>مؤسسه نبت السلام لبيع المطبوعات</t>
  </si>
  <si>
    <t>21/2/2022</t>
  </si>
  <si>
    <t>103/121/2022</t>
  </si>
  <si>
    <t xml:space="preserve">شركة القناديل المشرقه ( شخص واحد </t>
  </si>
  <si>
    <t>103/122/2022</t>
  </si>
  <si>
    <t>شركة سعدي علي ال قريش التجاريه</t>
  </si>
  <si>
    <t>2016مراجعه</t>
  </si>
  <si>
    <t>2017مراجعه</t>
  </si>
  <si>
    <t>2018مراجعه</t>
  </si>
  <si>
    <t>26/3/2022</t>
  </si>
  <si>
    <t>مؤسسة حنين الجوار للمقاولات العامة</t>
  </si>
  <si>
    <t>تقرير 2021</t>
  </si>
  <si>
    <t>103/123/2022</t>
  </si>
  <si>
    <t>شركة المعرفة الرقمية المحدودة</t>
  </si>
  <si>
    <t>103/124/2022</t>
  </si>
  <si>
    <t>شركة اسناد المدن للتجاره والصناعة والمقاولات المحدودة</t>
  </si>
  <si>
    <t>22/3/2022</t>
  </si>
  <si>
    <t>103/125/2022</t>
  </si>
  <si>
    <t>مدارس الفال المميز الاهليه</t>
  </si>
  <si>
    <t>تصفية بتاريخ 5 سبتمبر 2024</t>
  </si>
  <si>
    <t>24/3/2022</t>
  </si>
  <si>
    <t>103/126/2022</t>
  </si>
  <si>
    <t>شركة اوفر الاسعار التجارية</t>
  </si>
  <si>
    <t>مراجعه2021</t>
  </si>
  <si>
    <t>103/127/2022</t>
  </si>
  <si>
    <t xml:space="preserve">شركة ليدكو السعودية للصناعة </t>
  </si>
  <si>
    <t>مراجعة 2021</t>
  </si>
  <si>
    <t>28/3/2022</t>
  </si>
  <si>
    <t>103/128/2022</t>
  </si>
  <si>
    <t>شركة القناديل المشرقة</t>
  </si>
  <si>
    <t>مراجعة 2020</t>
  </si>
  <si>
    <t>103/129/2022</t>
  </si>
  <si>
    <t>مؤسسة عبد الرحيم يوسف ابو هاشم للمقاولات</t>
  </si>
  <si>
    <t>29/3/2022</t>
  </si>
  <si>
    <t>103/130/2022</t>
  </si>
  <si>
    <t>شركة مساكن بروج العقارية</t>
  </si>
  <si>
    <t>مراجعة 2022</t>
  </si>
  <si>
    <t>103/131/2022</t>
  </si>
  <si>
    <t>مؤسسة صالح مسلم محمد المهري التجارية</t>
  </si>
  <si>
    <t>103/132/2022</t>
  </si>
  <si>
    <t>مؤسسة الايادي القوية للمقاولات</t>
  </si>
  <si>
    <t>تصفية بتاريخ 31-12-2023</t>
  </si>
  <si>
    <t>103/133/2022</t>
  </si>
  <si>
    <t xml:space="preserve">شركة تقويم الدولية  / مطلوب عقد للمتابعة مع حجازي </t>
  </si>
  <si>
    <t>مراجهة 2021</t>
  </si>
  <si>
    <t>103/134/2022</t>
  </si>
  <si>
    <t>شركة اتحاد وصال</t>
  </si>
  <si>
    <t>103/135/2022</t>
  </si>
  <si>
    <t>شركة ريدا للصناعات العسكرية</t>
  </si>
  <si>
    <t>103/136/2022</t>
  </si>
  <si>
    <t>شركة رافعات الخيالة التجارية للمقاولات</t>
  </si>
  <si>
    <t>مراجعة 2018</t>
  </si>
  <si>
    <t>103/137/2022</t>
  </si>
  <si>
    <t>جزال العربية التجارية</t>
  </si>
  <si>
    <t>103/138/2022</t>
  </si>
  <si>
    <t>103/139/2022</t>
  </si>
  <si>
    <t>تصفيه بتاريخ 31اكتوبر2023</t>
  </si>
  <si>
    <t>103/140/2022</t>
  </si>
  <si>
    <t>103/141/2022</t>
  </si>
  <si>
    <t>شركة زيد الخير التجارية</t>
  </si>
  <si>
    <t>103/142/2022</t>
  </si>
  <si>
    <t>شركة سيارتك للتسويق الالكتروني</t>
  </si>
  <si>
    <t>103/143/2022</t>
  </si>
  <si>
    <t>شركة شبهة الجزيرة لتقنية نظم المعلومات</t>
  </si>
  <si>
    <t>103/144/2022</t>
  </si>
  <si>
    <t>103/145/2022</t>
  </si>
  <si>
    <t>شركة تحقق الدولية</t>
  </si>
  <si>
    <t>103/146/2022</t>
  </si>
  <si>
    <t>103/147/2022</t>
  </si>
  <si>
    <t>شركة القرن السابع للحلويات</t>
  </si>
  <si>
    <t>103/148/2022</t>
  </si>
  <si>
    <t>شركة ارتاما المحدودة</t>
  </si>
  <si>
    <t>103/149/2022</t>
  </si>
  <si>
    <t>شركة محمد عبدالله العريض</t>
  </si>
  <si>
    <t>تصفية بتاريخ 29 يناير 2024</t>
  </si>
  <si>
    <t>تصفية بتاريخ 10 ديسمبر 2024</t>
  </si>
  <si>
    <t>103/150/2022</t>
  </si>
  <si>
    <t>103/151/2022</t>
  </si>
  <si>
    <t>مؤسسة الابداع التهامي للمقاولات</t>
  </si>
  <si>
    <t>103/152/2022</t>
  </si>
  <si>
    <t>شركة الارنب والعسل للعصيرات</t>
  </si>
  <si>
    <t>103/153/2022</t>
  </si>
  <si>
    <t>شركة قادم رؤية لتقنية المعلومات</t>
  </si>
  <si>
    <t>103/154/2022</t>
  </si>
  <si>
    <t>شركة رمز الهزاز للتجارة-شخص واحد</t>
  </si>
  <si>
    <t>103/155/2022</t>
  </si>
  <si>
    <t>شركة العاشوري للتجارة الصناعة والمقاولات</t>
  </si>
  <si>
    <t>103/156/2022</t>
  </si>
  <si>
    <t>شركة مصنع العاشوري للطاقة والاتصالات والصناعات المعدنية-شخص واحد</t>
  </si>
  <si>
    <t>103/157/2022</t>
  </si>
  <si>
    <t>شركة مصنع العاشوري لحوامل الكابلات-شخص واحد</t>
  </si>
  <si>
    <t>103/158/2022</t>
  </si>
  <si>
    <t>شركة زجاج ومرايا العاشوري</t>
  </si>
  <si>
    <t>103/159/2022</t>
  </si>
  <si>
    <t>حمى للاستشارات الهندسية</t>
  </si>
  <si>
    <t>-</t>
  </si>
  <si>
    <t>تقرير راس المال</t>
  </si>
  <si>
    <t>103/160/2022</t>
  </si>
  <si>
    <t>103/161/2022</t>
  </si>
  <si>
    <t>103/162/2022</t>
  </si>
  <si>
    <t>شركة العاشوري للمنتجات الفولازية</t>
  </si>
  <si>
    <t>عرض</t>
  </si>
  <si>
    <t>تقرير اختلاس</t>
  </si>
  <si>
    <t>103/164/2022</t>
  </si>
  <si>
    <t>مطاعم ومطابخ البيت الذهبي</t>
  </si>
  <si>
    <t>تقويم الدولية</t>
  </si>
  <si>
    <t>زكاة</t>
  </si>
  <si>
    <t>103/165/2022</t>
  </si>
  <si>
    <t>103/166/2022</t>
  </si>
  <si>
    <t>شركة مصنع العاشوري للطاقة والإتصالات والصناعات المعدنية</t>
  </si>
  <si>
    <t>103/167/2022</t>
  </si>
  <si>
    <t>شركة إثراء الحياة للعقارات</t>
  </si>
  <si>
    <t>103/168/2022</t>
  </si>
  <si>
    <t>103/169/2022</t>
  </si>
  <si>
    <t>شركة المعاينة للفحص</t>
  </si>
  <si>
    <t>103/170/2022</t>
  </si>
  <si>
    <t>شركة المحور العذب للتجارة</t>
  </si>
  <si>
    <t>103/171/2022</t>
  </si>
  <si>
    <t>مكتب أبراج مكة للاستشارات الهندسية</t>
  </si>
  <si>
    <t>103/172/2022</t>
  </si>
  <si>
    <t>مكتب عبدالرحمن الحمدان للستشارات الهندسية</t>
  </si>
  <si>
    <t>103/173/2022</t>
  </si>
  <si>
    <t>شركة تاج الماسة للسفر والسياحة</t>
  </si>
  <si>
    <t>103/174/2022</t>
  </si>
  <si>
    <t>103/175/2022</t>
  </si>
  <si>
    <t>103/176/2022</t>
  </si>
  <si>
    <t>مؤسسة نواف ناصر العقيل للمقاولات</t>
  </si>
  <si>
    <t>103/177/2022</t>
  </si>
  <si>
    <t>شركة مداخل التصميم الحديثة للمقاولات</t>
  </si>
  <si>
    <t>103/178/2022</t>
  </si>
  <si>
    <t>شركة أبناء صالح عبدالرحمن الرميح للتجارة</t>
  </si>
  <si>
    <t>103/179/2022</t>
  </si>
  <si>
    <t>103/180/2022</t>
  </si>
  <si>
    <t>عقد مؤسسة كاد الخليج لتاجير السيارات</t>
  </si>
  <si>
    <t>2020/2021</t>
  </si>
  <si>
    <t>103/181/2022</t>
  </si>
  <si>
    <t>شركة فضاء الحلا المحدودة</t>
  </si>
  <si>
    <t>103/182/2022</t>
  </si>
  <si>
    <t>103/183/2022</t>
  </si>
  <si>
    <t>مكتب حمى للاستشارات</t>
  </si>
  <si>
    <t>103/184/2022</t>
  </si>
  <si>
    <t>شركة الامتيازات المتحدة المحدودة</t>
  </si>
  <si>
    <t>تصفية بتاريخ 23-11-2023</t>
  </si>
  <si>
    <t>103/185/2023</t>
  </si>
  <si>
    <t>شركة الاعماري المتقدم للمقاولات</t>
  </si>
  <si>
    <t>103/186/2023</t>
  </si>
  <si>
    <t>منتهي بدون حساب</t>
  </si>
  <si>
    <t>103/187/2023</t>
  </si>
  <si>
    <t>شركة تقنية المعلومات للتجارة-حساب ختامي</t>
  </si>
  <si>
    <t>103/188/2023</t>
  </si>
  <si>
    <t>شركة جهات الاعمال للتجارة والمقاولات والعقارات</t>
  </si>
  <si>
    <t>103/189/2023</t>
  </si>
  <si>
    <t>شركة زاوية العميد لتقديم الوجبات-شخص واحد</t>
  </si>
  <si>
    <t>103/190/2023</t>
  </si>
  <si>
    <t>103/191/2023</t>
  </si>
  <si>
    <t xml:space="preserve">شركة البدن الرشيق الرياضية </t>
  </si>
  <si>
    <t>103/192/2023</t>
  </si>
  <si>
    <t>شركة ابنية الخليج المحدودة</t>
  </si>
  <si>
    <t>103/193/2023</t>
  </si>
  <si>
    <t>شركة طلب الفرات للصيانة</t>
  </si>
  <si>
    <t>103/194/2023</t>
  </si>
  <si>
    <t>شركة أبراج العذر العقارية</t>
  </si>
  <si>
    <t>103/195/2023</t>
  </si>
  <si>
    <t>شركة الفلل المتحدة العقارية</t>
  </si>
  <si>
    <t>103/196/2023</t>
  </si>
  <si>
    <t xml:space="preserve">شركة الفلل المتقدمة للتطوير والاستثمارالعقاري </t>
  </si>
  <si>
    <t>103/197/2023</t>
  </si>
  <si>
    <t>شركة فلل الندى العقارية</t>
  </si>
  <si>
    <t>103/198/2023</t>
  </si>
  <si>
    <t>شركة أبراج النرجس للتطوير العقاري</t>
  </si>
  <si>
    <t>103/199/2023</t>
  </si>
  <si>
    <t>شركة اراي للتشغيل والصيانة</t>
  </si>
  <si>
    <t>103/200/2023</t>
  </si>
  <si>
    <t>شركة الأبراج المتقدمة للتطوير العقاري</t>
  </si>
  <si>
    <t>103/201/2023</t>
  </si>
  <si>
    <t>شركة المصيف فيلا العقارية</t>
  </si>
  <si>
    <t>103/202/2023</t>
  </si>
  <si>
    <t>شركة درة السكن العقارية</t>
  </si>
  <si>
    <t>103/203/2023</t>
  </si>
  <si>
    <t>شركة درة الواحة للتطوير العقاري</t>
  </si>
  <si>
    <t>103/204/2023</t>
  </si>
  <si>
    <t>شركة درة الليالي للتطوير العقاري</t>
  </si>
  <si>
    <t>103/205/2023</t>
  </si>
  <si>
    <t>شركة سكن وبناء العقارية -شخص واحد</t>
  </si>
  <si>
    <t>103/206/2023</t>
  </si>
  <si>
    <t>شركة سكن ومساكن العقارية</t>
  </si>
  <si>
    <t>103/207/2023</t>
  </si>
  <si>
    <t>شركة واحة المساكن العقارية</t>
  </si>
  <si>
    <t>103/208/2023</t>
  </si>
  <si>
    <t>شركة وادي موطف التجارية</t>
  </si>
  <si>
    <t>103/209/2023</t>
  </si>
  <si>
    <t>شركة غيمة أبراج العرب للمقاولات-شخص واحد</t>
  </si>
  <si>
    <t>103/210/2023</t>
  </si>
  <si>
    <t>103/211/2023</t>
  </si>
  <si>
    <t>شركة زاوية رايز لتقديم الوجبات-شخص واحد</t>
  </si>
  <si>
    <t>103/212/2023</t>
  </si>
  <si>
    <t xml:space="preserve">شركة انعام شرورة للتجارة </t>
  </si>
  <si>
    <t>103/213/2023</t>
  </si>
  <si>
    <t>103/214/2023</t>
  </si>
  <si>
    <t>شركة الجازم للمقاولات</t>
  </si>
  <si>
    <t>103/215/2023</t>
  </si>
  <si>
    <t>شركة مطاعم ومطابخ البيت الذهبي</t>
  </si>
  <si>
    <t>103/216/2023</t>
  </si>
  <si>
    <t>شركة مقومات البناء للمقاولات العامة</t>
  </si>
  <si>
    <t>103/217/2023</t>
  </si>
  <si>
    <t>103/218/2023</t>
  </si>
  <si>
    <t>103/219/2023</t>
  </si>
  <si>
    <t>مكتب اريج العالم للخدمات التجارية</t>
  </si>
  <si>
    <t>103/220/2023</t>
  </si>
  <si>
    <t>103/221/2023</t>
  </si>
  <si>
    <t>103/222/2023</t>
  </si>
  <si>
    <t>شركة خبراء الفلل للمقاولات</t>
  </si>
  <si>
    <t>103/223/2023</t>
  </si>
  <si>
    <t>شركة وكالة السماء الزرقاء للدعاية والاعلان وإقامة المعارض</t>
  </si>
  <si>
    <t>103/224/2023</t>
  </si>
  <si>
    <t>شركة نجوم عسير للاثاث</t>
  </si>
  <si>
    <t>103/225/2023</t>
  </si>
  <si>
    <t>103/226/2023</t>
  </si>
  <si>
    <t>شركة عطور الطبيعة للتجارة</t>
  </si>
  <si>
    <t>103/227/2023</t>
  </si>
  <si>
    <t>شركة عطر الطبيعة للصناعة</t>
  </si>
  <si>
    <t>103/228/2023</t>
  </si>
  <si>
    <t>103/229/2023</t>
  </si>
  <si>
    <t>شركة نعومي الخليج للتجارة</t>
  </si>
  <si>
    <t>تصفية بتاريخ 6 يناير 2025</t>
  </si>
  <si>
    <t>103/230/2023</t>
  </si>
  <si>
    <t>مؤسسة رنف الجبل لتقديم الوجبات</t>
  </si>
  <si>
    <t>103/231/2023</t>
  </si>
  <si>
    <t>شركة الفريق الذهبي للمقاولات</t>
  </si>
  <si>
    <t>103/232/2023</t>
  </si>
  <si>
    <t>مركز فريق واحد للخدات الطبية</t>
  </si>
  <si>
    <t>103/233/2023</t>
  </si>
  <si>
    <t>شركة تقويم الدولية للآلات والمعدات</t>
  </si>
  <si>
    <t>103/234/2023</t>
  </si>
  <si>
    <t>شركة التحقق الدولية</t>
  </si>
  <si>
    <t>103/235/2023</t>
  </si>
  <si>
    <t>103/236/2023</t>
  </si>
  <si>
    <t>شركة حدود الدمام للمقاولات العامة</t>
  </si>
  <si>
    <t>تجميع</t>
  </si>
  <si>
    <t>103/237/2023</t>
  </si>
  <si>
    <t>103/238/2023</t>
  </si>
  <si>
    <t xml:space="preserve">مؤسسة كاد الخليج - امتناع </t>
  </si>
  <si>
    <t>2021-2022</t>
  </si>
  <si>
    <t>103/239/2023</t>
  </si>
  <si>
    <t xml:space="preserve">مؤسسة السريعي التجارية </t>
  </si>
  <si>
    <t>تقرير</t>
  </si>
  <si>
    <t>لم تبدء</t>
  </si>
  <si>
    <t>103/240/2023</t>
  </si>
  <si>
    <t>مازن للتجهيزات الصناعية</t>
  </si>
  <si>
    <t>تصفية بتاريخ 25 سبتمبر 2024</t>
  </si>
  <si>
    <t>103/241/2023</t>
  </si>
  <si>
    <t>103/242/2023</t>
  </si>
  <si>
    <t>تصفية بتاريخ 1فبراير 2025</t>
  </si>
  <si>
    <t>103/243/2023</t>
  </si>
  <si>
    <t>103/244/2023</t>
  </si>
  <si>
    <t>103/245/2023</t>
  </si>
  <si>
    <t>103/246/2023</t>
  </si>
  <si>
    <t>شركة رمز الهزاز التجارية-شخص واحد</t>
  </si>
  <si>
    <t>103/247/2023</t>
  </si>
  <si>
    <t>شركة التازر العربي للتجارة</t>
  </si>
  <si>
    <t>103/248/2023</t>
  </si>
  <si>
    <t>103/249/2023</t>
  </si>
  <si>
    <t>شركة شفت المالية</t>
  </si>
  <si>
    <t>103/250/2023</t>
  </si>
  <si>
    <t>شركة الرجاس للمقاولات</t>
  </si>
  <si>
    <t>103/251/2023</t>
  </si>
  <si>
    <t>شركة تنمية العائدات</t>
  </si>
  <si>
    <t>103/252/2023</t>
  </si>
  <si>
    <t>شركة عبدالعزيز ناصر العبيكان القابضة</t>
  </si>
  <si>
    <t>103/253/2023</t>
  </si>
  <si>
    <t>مؤسسة تحديث وابتكار للخدمات اللوجستية</t>
  </si>
  <si>
    <t>103/254/2023</t>
  </si>
  <si>
    <t>103/255/2023</t>
  </si>
  <si>
    <t>103/256/2023</t>
  </si>
  <si>
    <t>شركة عيناي للبصريات</t>
  </si>
  <si>
    <t>103/257/2023</t>
  </si>
  <si>
    <t>شركة الحدود الزرقاء</t>
  </si>
  <si>
    <t>103/258/2023</t>
  </si>
  <si>
    <t>103/259/2023</t>
  </si>
  <si>
    <t>شركة سفارة الجمال للتزيين النسائي</t>
  </si>
  <si>
    <t>103/260/2023</t>
  </si>
  <si>
    <t>103/261/2023</t>
  </si>
  <si>
    <t>103/262/2023</t>
  </si>
  <si>
    <t>103/263/2023</t>
  </si>
  <si>
    <t>شركة زايد الخيرالتجارية</t>
  </si>
  <si>
    <t>103/264/2023</t>
  </si>
  <si>
    <t>103/265/2023</t>
  </si>
  <si>
    <t>103/266/2023</t>
  </si>
  <si>
    <t>شركة أبراج المعذر العقارية</t>
  </si>
  <si>
    <t>103/267/2023</t>
  </si>
  <si>
    <t>103/268/2023</t>
  </si>
  <si>
    <t>103/269/2023</t>
  </si>
  <si>
    <t>103/270/2023</t>
  </si>
  <si>
    <t>103/271/2023</t>
  </si>
  <si>
    <t>103/272/2023</t>
  </si>
  <si>
    <t>103/273/2023</t>
  </si>
  <si>
    <t>شركة جمانة الشاطئ للتطوير العقاري</t>
  </si>
  <si>
    <t>103/274/2023</t>
  </si>
  <si>
    <t>شركة جمانة الشمال العقارية</t>
  </si>
  <si>
    <t>103/275/2023</t>
  </si>
  <si>
    <t>شركة البلورة العقارية</t>
  </si>
  <si>
    <t>103/276/2023</t>
  </si>
  <si>
    <t>103/277/2023</t>
  </si>
  <si>
    <t>103/278/2023</t>
  </si>
  <si>
    <t>103/279/2023</t>
  </si>
  <si>
    <t>شركة سماك كونتركتينج العربية المحدودة</t>
  </si>
  <si>
    <t>103/280/2023</t>
  </si>
  <si>
    <t>103/281/2023</t>
  </si>
  <si>
    <t>103/282/2023</t>
  </si>
  <si>
    <t>103/283/2023</t>
  </si>
  <si>
    <t>103/284/2023</t>
  </si>
  <si>
    <t>103/285/2023</t>
  </si>
  <si>
    <t>شركة روز لتنظيم المعارض والمؤتمرات</t>
  </si>
  <si>
    <t>103/286/2023</t>
  </si>
  <si>
    <t>شركة مركز فريق واحد للخدمات الطبية</t>
  </si>
  <si>
    <t>103/287/2023</t>
  </si>
  <si>
    <t>103/288/2023</t>
  </si>
  <si>
    <t>103/289/2023</t>
  </si>
  <si>
    <t>مؤسسة عبدالله الرشيد</t>
  </si>
  <si>
    <t>تصفية بتاريخ 7 ابريل 2025</t>
  </si>
  <si>
    <t>103/290/2023</t>
  </si>
  <si>
    <t>103/291/2023</t>
  </si>
  <si>
    <t>103/292/2023</t>
  </si>
  <si>
    <t>103/293/2023</t>
  </si>
  <si>
    <t>شركة زاوية رايز لتقديم الوجبات</t>
  </si>
  <si>
    <t>103/294/2023</t>
  </si>
  <si>
    <t>103/295/2023</t>
  </si>
  <si>
    <t>مؤسسة ممر السعادة للسفر والسياحة</t>
  </si>
  <si>
    <t>103/296/2023</t>
  </si>
  <si>
    <t>103/297/2023</t>
  </si>
  <si>
    <t>شركة دخول للتجارة</t>
  </si>
  <si>
    <t>103/298/2023</t>
  </si>
  <si>
    <t>تحت الاجراء</t>
  </si>
  <si>
    <t>103/299/2023</t>
  </si>
  <si>
    <t>103/300/2023</t>
  </si>
  <si>
    <t>103/301/2023</t>
  </si>
  <si>
    <t>103/302/2023</t>
  </si>
  <si>
    <t>103/303/2023</t>
  </si>
  <si>
    <t>103/304/2023</t>
  </si>
  <si>
    <t>شركة العاشوري للمنتجات الفولاذية</t>
  </si>
  <si>
    <t>103/305/2023</t>
  </si>
  <si>
    <t>103/306/2023</t>
  </si>
  <si>
    <t>شركة قمر العروبة المحدودة</t>
  </si>
  <si>
    <t>103/307/2023</t>
  </si>
  <si>
    <t>103/308/2023</t>
  </si>
  <si>
    <t>103/309/2023</t>
  </si>
  <si>
    <t>شركة تقويم الدولية للالات والمعدات</t>
  </si>
  <si>
    <t>103/310/2023</t>
  </si>
  <si>
    <t>103/311/2023</t>
  </si>
  <si>
    <t>103/312/2023</t>
  </si>
  <si>
    <t>مكتب العقيل مهندسون استشاريون للاستشارات المالية</t>
  </si>
  <si>
    <t>103/313/2023</t>
  </si>
  <si>
    <t>مؤسسة نظم البنية المثالية للمقاولات</t>
  </si>
  <si>
    <t>103/314/2023</t>
  </si>
  <si>
    <t>شركة مطعم خبزة للوجبات السريعة</t>
  </si>
  <si>
    <t>103/315/2023</t>
  </si>
  <si>
    <t>شركة موائد الكرم لتقديم الوجبات شخص واحد</t>
  </si>
  <si>
    <t>حساب ختامي</t>
  </si>
  <si>
    <t>103/316/2023</t>
  </si>
  <si>
    <t>شركة كرم وضيافة للايواء السياحي شخص واحد</t>
  </si>
  <si>
    <t>103/317/2023</t>
  </si>
  <si>
    <t>103/318/2023</t>
  </si>
  <si>
    <t>شركة إثراء الحياة للإستثمار</t>
  </si>
  <si>
    <t>103/319/2023</t>
  </si>
  <si>
    <t>103/320/2023</t>
  </si>
  <si>
    <t>شركة تقنية السيارة لخدمات السيارات شركة شخص واحد</t>
  </si>
  <si>
    <t>103/321/2023</t>
  </si>
  <si>
    <t>شركة سمة الإبداع الدولية</t>
  </si>
  <si>
    <t>103/322/2023</t>
  </si>
  <si>
    <t>103/323/2023</t>
  </si>
  <si>
    <t>103/324/2023</t>
  </si>
  <si>
    <t>103/325/2023</t>
  </si>
  <si>
    <t>103/326/2023</t>
  </si>
  <si>
    <t>103/327/2023</t>
  </si>
  <si>
    <t>شركة درر الليالي للتطوير العقاري</t>
  </si>
  <si>
    <t>103/328/2023</t>
  </si>
  <si>
    <t>103/329/2023</t>
  </si>
  <si>
    <t>103/330/2023</t>
  </si>
  <si>
    <t>شركة الأبراج المبتكرة للتطوير والإستثمار العقاري شخص واحد</t>
  </si>
  <si>
    <t>103/331/2023</t>
  </si>
  <si>
    <t>103/332/2023</t>
  </si>
  <si>
    <t>103/333/2023</t>
  </si>
  <si>
    <t>103/334/2023</t>
  </si>
  <si>
    <t>103/335/2023</t>
  </si>
  <si>
    <t>103/336/2023</t>
  </si>
  <si>
    <t>103/337/2023</t>
  </si>
  <si>
    <t>103/338/2023</t>
  </si>
  <si>
    <t>شركة صرح المحمدية العقارية</t>
  </si>
  <si>
    <t>103/339/2023</t>
  </si>
  <si>
    <t>شركة البلورة الأولى للتطوير والإستثمار العقاري</t>
  </si>
  <si>
    <t>103/340/2023</t>
  </si>
  <si>
    <t>شركة المبتكرون الأولى للتطوير العقاري</t>
  </si>
  <si>
    <t>103/341/2023</t>
  </si>
  <si>
    <t>شركة تقنية السيارة للتقييم</t>
  </si>
  <si>
    <t>103/342/2023</t>
  </si>
  <si>
    <t>شركة صلة لانظمة القوى والتحكم والسلامه</t>
  </si>
  <si>
    <t>تقرير إجراءات</t>
  </si>
  <si>
    <t>103/343/2023</t>
  </si>
  <si>
    <t>103/344/2023</t>
  </si>
  <si>
    <t>103/345/2023</t>
  </si>
  <si>
    <t>مدارس الفال المميز الأهلية</t>
  </si>
  <si>
    <t>103/346/2023</t>
  </si>
  <si>
    <t>103/347/2023</t>
  </si>
  <si>
    <t>شركة عبدالرحمن عبدالعزيز الحمدان للاستشارات الهندسية شخص واحد</t>
  </si>
  <si>
    <t>103/348/2023</t>
  </si>
  <si>
    <t>103/349/2023</t>
  </si>
  <si>
    <t>103/350/2023</t>
  </si>
  <si>
    <t>103/351/2023</t>
  </si>
  <si>
    <t>103/352/2023</t>
  </si>
  <si>
    <t>103/353/2023</t>
  </si>
  <si>
    <t>شركة صلة للإستثمار الصناعي والتجاري</t>
  </si>
  <si>
    <t>103/354/2023</t>
  </si>
  <si>
    <t>شركة عطر الطبيعة للصناعة شركة شخص واحد</t>
  </si>
  <si>
    <t>103/355/2023</t>
  </si>
  <si>
    <t>103/356/2023</t>
  </si>
  <si>
    <t>103/357/2023</t>
  </si>
  <si>
    <t>103/358/2023</t>
  </si>
  <si>
    <t>103/359/2023</t>
  </si>
  <si>
    <t>103/360/2023</t>
  </si>
  <si>
    <t>شركة أرباح للمقاولات</t>
  </si>
  <si>
    <t>103/361/2023</t>
  </si>
  <si>
    <t>103/362/2023</t>
  </si>
  <si>
    <t>103/363/2023</t>
  </si>
  <si>
    <t>103/364/2023</t>
  </si>
  <si>
    <t>103/366/2023</t>
  </si>
  <si>
    <t>شركة عبيد محمد الشملاني وشريكه للمقاولات</t>
  </si>
  <si>
    <t>103/367/2023</t>
  </si>
  <si>
    <t>103/368/2023</t>
  </si>
  <si>
    <t>شركة ارتكاز الاعمال للمقاولات</t>
  </si>
  <si>
    <t>103/369/2023</t>
  </si>
  <si>
    <t>2018-2024</t>
  </si>
  <si>
    <t>103/370/2023</t>
  </si>
  <si>
    <t>103/371/2023</t>
  </si>
  <si>
    <t>103/372/2023</t>
  </si>
  <si>
    <t>103/374/2023</t>
  </si>
  <si>
    <t>اتفاقية المشاريع الأولى البيع على الخارطة</t>
  </si>
  <si>
    <t>2025-2028</t>
  </si>
  <si>
    <t>مؤجل</t>
  </si>
  <si>
    <t>103/375/2023</t>
  </si>
  <si>
    <t>شركة سورد السعودية المحدودة</t>
  </si>
  <si>
    <t>103/376/2023</t>
  </si>
  <si>
    <t>شركة بايتس فيوتشر</t>
  </si>
  <si>
    <t>103/377/2023</t>
  </si>
  <si>
    <t>103/378/2023</t>
  </si>
  <si>
    <t>103/379/2023</t>
  </si>
  <si>
    <t>103/380/2023</t>
  </si>
  <si>
    <t>103/381/2023</t>
  </si>
  <si>
    <t>103/382/2023</t>
  </si>
  <si>
    <t>شركة دبي للاستشارات الهندسية</t>
  </si>
  <si>
    <t>103/383/2023</t>
  </si>
  <si>
    <t>شركة تمني المحدودة -شركة شخص واحد</t>
  </si>
  <si>
    <t>103/384/2025</t>
  </si>
  <si>
    <t>103/385/2025</t>
  </si>
  <si>
    <t>103/386/2025</t>
  </si>
  <si>
    <t>شركة جندولة التجارية شخص واحد</t>
  </si>
  <si>
    <t>103/387/2025</t>
  </si>
  <si>
    <t>شركة جندولة المحدودة</t>
  </si>
  <si>
    <t>103/365/2023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</si>
</sst>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1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3"/>
      <name val="Calibri"/>
      <family val="2"/>
      <scheme val="minor"/>
    </font>
    <font>
      <b/>
      <sz val="13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b/>
      <sz val="13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0" fillId="11" borderId="0" applyNumberFormat="0" applyBorder="0" applyAlignment="0" applyProtection="0"/>
  </cellStyleXfs>
  <cellXfs count="64">
    <xf numFmtId="0" fontId="0" fillId="0" borderId="0" xfId="0"/>
    <xf numFmtId="0" fontId="1" fillId="0" borderId="2" xfId="0" applyFont="1" applyBorder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3" fontId="3" fillId="0" borderId="2" xfId="0" applyNumberFormat="1" applyFont="1" applyBorder="1" applyAlignment="1">
      <alignment horizontal="center"/>
    </xf>
    <xf numFmtId="0" fontId="4" fillId="0" borderId="2" xfId="0" applyFont="1" applyBorder="1"/>
    <xf numFmtId="1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3" fontId="5" fillId="0" borderId="2" xfId="0" applyNumberFormat="1" applyFont="1" applyBorder="1" applyAlignment="1">
      <alignment horizontal="center"/>
    </xf>
    <xf numFmtId="0" fontId="1" fillId="0" borderId="1" xfId="0" applyFont="1" applyBorder="1"/>
    <xf numFmtId="1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4" fontId="1" fillId="3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center"/>
    </xf>
    <xf numFmtId="3" fontId="3" fillId="4" borderId="2" xfId="0" applyNumberFormat="1" applyFont="1" applyFill="1" applyBorder="1" applyAlignment="1">
      <alignment horizontal="center"/>
    </xf>
    <xf numFmtId="4" fontId="1" fillId="4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right"/>
    </xf>
    <xf numFmtId="3" fontId="3" fillId="6" borderId="2" xfId="0" applyNumberFormat="1" applyFont="1" applyFill="1" applyBorder="1" applyAlignment="1">
      <alignment horizontal="center"/>
    </xf>
    <xf numFmtId="164" fontId="6" fillId="7" borderId="2" xfId="0" applyNumberFormat="1" applyFont="1" applyFill="1" applyBorder="1" applyAlignment="1">
      <alignment horizontal="right"/>
    </xf>
    <xf numFmtId="0" fontId="1" fillId="8" borderId="2" xfId="0" applyFont="1" applyFill="1" applyBorder="1" applyAlignment="1">
      <alignment horizontal="right"/>
    </xf>
    <xf numFmtId="164" fontId="6" fillId="9" borderId="2" xfId="0" applyNumberFormat="1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1" fillId="4" borderId="2" xfId="0" applyFont="1" applyFill="1" applyBorder="1"/>
    <xf numFmtId="14" fontId="6" fillId="0" borderId="2" xfId="0" applyNumberFormat="1" applyFont="1" applyBorder="1" applyAlignment="1">
      <alignment horizontal="right"/>
    </xf>
    <xf numFmtId="3" fontId="3" fillId="8" borderId="2" xfId="0" applyNumberFormat="1" applyFont="1" applyFill="1" applyBorder="1" applyAlignment="1">
      <alignment horizontal="center"/>
    </xf>
    <xf numFmtId="0" fontId="1" fillId="8" borderId="2" xfId="0" applyFont="1" applyFill="1" applyBorder="1" applyAlignment="1">
      <alignment horizontal="right" wrapText="1"/>
    </xf>
    <xf numFmtId="0" fontId="1" fillId="10" borderId="2" xfId="0" applyFont="1" applyFill="1" applyBorder="1" applyAlignment="1">
      <alignment horizontal="right"/>
    </xf>
    <xf numFmtId="0" fontId="1" fillId="8" borderId="0" xfId="0" applyFont="1" applyFill="1" applyAlignment="1">
      <alignment horizontal="right"/>
    </xf>
    <xf numFmtId="0" fontId="10" fillId="11" borderId="2" xfId="1" applyBorder="1" applyAlignment="1">
      <alignment horizontal="center"/>
    </xf>
    <xf numFmtId="14" fontId="10" fillId="11" borderId="2" xfId="1" applyNumberFormat="1" applyBorder="1" applyAlignment="1">
      <alignment horizontal="right"/>
    </xf>
    <xf numFmtId="0" fontId="10" fillId="11" borderId="2" xfId="1" applyBorder="1" applyAlignment="1">
      <alignment horizontal="right"/>
    </xf>
    <xf numFmtId="3" fontId="10" fillId="11" borderId="2" xfId="1" applyNumberFormat="1" applyBorder="1" applyAlignment="1">
      <alignment horizontal="center"/>
    </xf>
    <xf numFmtId="4" fontId="10" fillId="11" borderId="2" xfId="1" applyNumberFormat="1" applyBorder="1" applyAlignment="1">
      <alignment horizontal="center"/>
    </xf>
    <xf numFmtId="0" fontId="10" fillId="11" borderId="2" xfId="1" applyBorder="1"/>
    <xf numFmtId="0" fontId="10" fillId="11" borderId="0" xfId="1"/>
    <xf numFmtId="0" fontId="3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14" fontId="11" fillId="4" borderId="2" xfId="0" applyNumberFormat="1" applyFont="1" applyFill="1" applyBorder="1" applyAlignment="1">
      <alignment horizontal="right"/>
    </xf>
    <xf numFmtId="3" fontId="4" fillId="4" borderId="2" xfId="0" applyNumberFormat="1" applyFont="1" applyFill="1" applyBorder="1" applyAlignment="1">
      <alignment horizontal="center"/>
    </xf>
    <xf numFmtId="3" fontId="1" fillId="4" borderId="2" xfId="0" applyNumberFormat="1" applyFont="1" applyFill="1" applyBorder="1" applyAlignment="1">
      <alignment horizontal="center"/>
    </xf>
    <xf numFmtId="0" fontId="0" fillId="4" borderId="0" xfId="0" applyFont="1" applyFill="1"/>
    <xf numFmtId="14" fontId="6" fillId="4" borderId="2" xfId="0" applyNumberFormat="1" applyFont="1" applyFill="1" applyBorder="1" applyAlignment="1">
      <alignment horizontal="right"/>
    </xf>
    <xf numFmtId="0" fontId="0" fillId="4" borderId="0" xfId="0" applyFill="1"/>
    <xf numFmtId="0" fontId="3" fillId="10" borderId="2" xfId="0" applyFont="1" applyFill="1" applyBorder="1" applyAlignment="1">
      <alignment horizontal="center"/>
    </xf>
    <xf numFmtId="14" fontId="6" fillId="10" borderId="2" xfId="0" applyNumberFormat="1" applyFont="1" applyFill="1" applyBorder="1" applyAlignment="1">
      <alignment horizontal="right"/>
    </xf>
    <xf numFmtId="0" fontId="1" fillId="10" borderId="2" xfId="0" applyFont="1" applyFill="1" applyBorder="1" applyAlignment="1">
      <alignment horizontal="center"/>
    </xf>
    <xf numFmtId="3" fontId="3" fillId="10" borderId="2" xfId="0" applyNumberFormat="1" applyFont="1" applyFill="1" applyBorder="1" applyAlignment="1">
      <alignment horizontal="center"/>
    </xf>
    <xf numFmtId="3" fontId="1" fillId="10" borderId="2" xfId="0" applyNumberFormat="1" applyFont="1" applyFill="1" applyBorder="1" applyAlignment="1">
      <alignment horizontal="center"/>
    </xf>
    <xf numFmtId="4" fontId="1" fillId="10" borderId="2" xfId="0" applyNumberFormat="1" applyFont="1" applyFill="1" applyBorder="1" applyAlignment="1">
      <alignment horizontal="center"/>
    </xf>
    <xf numFmtId="0" fontId="1" fillId="10" borderId="2" xfId="0" applyFont="1" applyFill="1" applyBorder="1"/>
    <xf numFmtId="0" fontId="0" fillId="10" borderId="0" xfId="0" applyFill="1"/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L352"/>
  <sheetViews>
    <sheetView rightToLeft="1" tabSelected="1" zoomScale="80" zoomScaleNormal="80" workbookViewId="0">
      <pane ySplit="1" topLeftCell="A268" activePane="bottomLeft" state="frozen"/>
      <selection pane="bottomLeft" activeCell="E274" sqref="A274:XFD274"/>
    </sheetView>
  </sheetViews>
  <sheetFormatPr defaultRowHeight="14.4" x14ac:dyDescent="0.3"/>
  <cols>
    <col min="1" max="1" width="16.44140625" bestFit="1" customWidth="1"/>
    <col min="2" max="2" width="11.88671875" bestFit="1" customWidth="1"/>
    <col min="3" max="3" width="13.33203125" bestFit="1" customWidth="1"/>
    <col min="4" max="4" width="15.44140625" bestFit="1" customWidth="1"/>
    <col min="5" max="5" width="47" customWidth="1"/>
    <col min="6" max="6" width="12.77734375" hidden="1" customWidth="1"/>
    <col min="7" max="7" width="31.6640625" customWidth="1"/>
    <col min="8" max="8" width="31.88671875" customWidth="1"/>
    <col min="9" max="9" width="28.109375" customWidth="1"/>
    <col min="10" max="10" width="25.5546875" customWidth="1"/>
    <col min="11" max="11" width="27.33203125" customWidth="1"/>
    <col min="12" max="12" width="24.33203125" bestFit="1" customWidth="1"/>
  </cols>
  <sheetData>
    <row r="1" spans="1:12" ht="17.399999999999999" thickBot="1" x14ac:dyDescent="0.3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7" t="s">
        <v>11</v>
      </c>
    </row>
    <row r="2" spans="1:12" ht="16.8" x14ac:dyDescent="0.3">
      <c r="A2" s="8" t="str">
        <f t="shared" ref="A2:A65" si="0">B2&amp;F2</f>
        <v>2016</v>
      </c>
      <c r="B2" s="8"/>
      <c r="C2" s="9">
        <v>43674</v>
      </c>
      <c r="D2" s="8">
        <v>0</v>
      </c>
      <c r="E2" s="10" t="s">
        <v>12</v>
      </c>
      <c r="F2" s="8">
        <v>2016</v>
      </c>
      <c r="G2" s="11">
        <v>10000</v>
      </c>
      <c r="H2" s="11">
        <f t="shared" ref="H2:H8" si="1">G2*0.05</f>
        <v>500</v>
      </c>
      <c r="I2" s="11">
        <f t="shared" ref="I2:I3" si="2">G2+H2</f>
        <v>10500</v>
      </c>
      <c r="J2" s="11">
        <v>10500</v>
      </c>
      <c r="K2" s="11">
        <f t="shared" ref="K2:K9" si="3">I2-J2</f>
        <v>0</v>
      </c>
      <c r="L2" s="12" t="s">
        <v>13</v>
      </c>
    </row>
    <row r="3" spans="1:12" ht="16.8" x14ac:dyDescent="0.3">
      <c r="A3" s="8" t="str">
        <f t="shared" si="0"/>
        <v>2017</v>
      </c>
      <c r="B3" s="8"/>
      <c r="C3" s="9">
        <v>43674</v>
      </c>
      <c r="D3" s="8">
        <v>0</v>
      </c>
      <c r="E3" s="10" t="s">
        <v>12</v>
      </c>
      <c r="F3" s="8">
        <v>2017</v>
      </c>
      <c r="G3" s="11">
        <v>10000</v>
      </c>
      <c r="H3" s="11">
        <f t="shared" si="1"/>
        <v>500</v>
      </c>
      <c r="I3" s="11">
        <f t="shared" si="2"/>
        <v>10500</v>
      </c>
      <c r="J3" s="11">
        <v>4500</v>
      </c>
      <c r="K3" s="11">
        <v>0</v>
      </c>
      <c r="L3" s="12" t="s">
        <v>13</v>
      </c>
    </row>
    <row r="4" spans="1:12" ht="16.8" x14ac:dyDescent="0.3">
      <c r="A4" s="8" t="str">
        <f t="shared" si="0"/>
        <v>2018</v>
      </c>
      <c r="B4" s="8"/>
      <c r="C4" s="9">
        <v>43674</v>
      </c>
      <c r="D4" s="8">
        <v>0</v>
      </c>
      <c r="E4" s="10" t="s">
        <v>14</v>
      </c>
      <c r="F4" s="8">
        <v>2018</v>
      </c>
      <c r="G4" s="11">
        <v>6000</v>
      </c>
      <c r="H4" s="11">
        <f t="shared" si="1"/>
        <v>300</v>
      </c>
      <c r="I4" s="11">
        <f>G4+H4</f>
        <v>6300</v>
      </c>
      <c r="J4" s="11">
        <v>6000</v>
      </c>
      <c r="K4" s="11">
        <v>0</v>
      </c>
      <c r="L4" s="12" t="s">
        <v>15</v>
      </c>
    </row>
    <row r="5" spans="1:12" ht="16.8" x14ac:dyDescent="0.3">
      <c r="A5" s="8" t="str">
        <f t="shared" si="0"/>
        <v>2018</v>
      </c>
      <c r="B5" s="8"/>
      <c r="C5" s="9">
        <v>43781</v>
      </c>
      <c r="D5" s="8" t="s">
        <v>16</v>
      </c>
      <c r="E5" s="10" t="s">
        <v>17</v>
      </c>
      <c r="F5" s="8">
        <v>2018</v>
      </c>
      <c r="G5" s="11">
        <v>9000</v>
      </c>
      <c r="H5" s="11">
        <f t="shared" si="1"/>
        <v>450</v>
      </c>
      <c r="I5" s="11">
        <f t="shared" ref="I5:I68" si="4">H5+G5</f>
        <v>9450</v>
      </c>
      <c r="J5" s="11">
        <v>4725</v>
      </c>
      <c r="K5" s="11">
        <v>0</v>
      </c>
      <c r="L5" s="12" t="s">
        <v>13</v>
      </c>
    </row>
    <row r="6" spans="1:12" ht="16.8" x14ac:dyDescent="0.3">
      <c r="A6" s="8" t="str">
        <f t="shared" si="0"/>
        <v>2018</v>
      </c>
      <c r="B6" s="8"/>
      <c r="C6" s="9">
        <v>43781</v>
      </c>
      <c r="D6" s="8" t="s">
        <v>18</v>
      </c>
      <c r="E6" s="10" t="s">
        <v>19</v>
      </c>
      <c r="F6" s="8">
        <v>2018</v>
      </c>
      <c r="G6" s="11">
        <v>9000</v>
      </c>
      <c r="H6" s="11">
        <f t="shared" si="1"/>
        <v>450</v>
      </c>
      <c r="I6" s="11">
        <f t="shared" si="4"/>
        <v>9450</v>
      </c>
      <c r="J6" s="11">
        <v>4725</v>
      </c>
      <c r="K6" s="11">
        <v>0</v>
      </c>
      <c r="L6" s="12" t="s">
        <v>13</v>
      </c>
    </row>
    <row r="7" spans="1:12" ht="17.399999999999999" x14ac:dyDescent="0.35">
      <c r="A7" s="8" t="str">
        <f t="shared" si="0"/>
        <v>2019</v>
      </c>
      <c r="B7" s="8"/>
      <c r="C7" s="13">
        <v>43879</v>
      </c>
      <c r="D7" s="14" t="s">
        <v>20</v>
      </c>
      <c r="E7" s="15" t="s">
        <v>21</v>
      </c>
      <c r="F7" s="14">
        <v>2019</v>
      </c>
      <c r="G7" s="11">
        <v>10000</v>
      </c>
      <c r="H7" s="11">
        <f t="shared" si="1"/>
        <v>500</v>
      </c>
      <c r="I7" s="11">
        <f t="shared" si="4"/>
        <v>10500</v>
      </c>
      <c r="J7" s="11">
        <f>5500+5000</f>
        <v>10500</v>
      </c>
      <c r="K7" s="16">
        <f t="shared" si="3"/>
        <v>0</v>
      </c>
      <c r="L7" s="17" t="s">
        <v>22</v>
      </c>
    </row>
    <row r="8" spans="1:12" ht="17.399999999999999" x14ac:dyDescent="0.35">
      <c r="A8" s="8" t="str">
        <f t="shared" si="0"/>
        <v>2019</v>
      </c>
      <c r="B8" s="8"/>
      <c r="C8" s="13">
        <v>43894</v>
      </c>
      <c r="D8" s="14" t="s">
        <v>23</v>
      </c>
      <c r="E8" s="15" t="s">
        <v>24</v>
      </c>
      <c r="F8" s="14">
        <v>2019</v>
      </c>
      <c r="G8" s="16">
        <v>10000</v>
      </c>
      <c r="H8" s="11">
        <f t="shared" si="1"/>
        <v>500</v>
      </c>
      <c r="I8" s="11">
        <f t="shared" si="4"/>
        <v>10500</v>
      </c>
      <c r="J8" s="11">
        <v>5250</v>
      </c>
      <c r="K8" s="16">
        <v>0</v>
      </c>
      <c r="L8" s="1" t="s">
        <v>15</v>
      </c>
    </row>
    <row r="9" spans="1:12" ht="17.399999999999999" x14ac:dyDescent="0.35">
      <c r="A9" s="8" t="str">
        <f t="shared" si="0"/>
        <v>40301213462019</v>
      </c>
      <c r="B9" s="8">
        <v>4030121346</v>
      </c>
      <c r="C9" s="18">
        <v>44011</v>
      </c>
      <c r="D9" s="19" t="s">
        <v>25</v>
      </c>
      <c r="E9" s="15" t="s">
        <v>26</v>
      </c>
      <c r="F9" s="19">
        <v>2019</v>
      </c>
      <c r="G9" s="20">
        <v>10000</v>
      </c>
      <c r="H9" s="11">
        <f t="shared" ref="H9:H24" si="5">G9*0.15</f>
        <v>1500</v>
      </c>
      <c r="I9" s="11">
        <f t="shared" si="4"/>
        <v>11500</v>
      </c>
      <c r="J9" s="11">
        <v>11500</v>
      </c>
      <c r="K9" s="21">
        <f t="shared" si="3"/>
        <v>0</v>
      </c>
      <c r="L9" s="1" t="s">
        <v>27</v>
      </c>
    </row>
    <row r="10" spans="1:12" ht="17.399999999999999" x14ac:dyDescent="0.35">
      <c r="A10" s="8" t="str">
        <f t="shared" si="0"/>
        <v>10104857112020</v>
      </c>
      <c r="B10" s="8">
        <v>1010485711</v>
      </c>
      <c r="C10" s="18">
        <v>44189</v>
      </c>
      <c r="D10" s="19" t="s">
        <v>28</v>
      </c>
      <c r="E10" s="15" t="s">
        <v>29</v>
      </c>
      <c r="F10" s="19">
        <v>2020</v>
      </c>
      <c r="G10" s="20">
        <v>10000</v>
      </c>
      <c r="H10" s="11">
        <f t="shared" si="5"/>
        <v>1500</v>
      </c>
      <c r="I10" s="11">
        <f t="shared" si="4"/>
        <v>11500</v>
      </c>
      <c r="J10" s="11">
        <f>11500</f>
        <v>11500</v>
      </c>
      <c r="K10" s="21">
        <f>I10-J10</f>
        <v>0</v>
      </c>
      <c r="L10" s="1" t="s">
        <v>27</v>
      </c>
    </row>
    <row r="11" spans="1:12" ht="17.399999999999999" x14ac:dyDescent="0.35">
      <c r="A11" s="8" t="str">
        <f t="shared" si="0"/>
        <v>2020</v>
      </c>
      <c r="B11" s="8"/>
      <c r="C11" s="18">
        <v>44241</v>
      </c>
      <c r="D11" s="19" t="s">
        <v>30</v>
      </c>
      <c r="E11" s="15" t="s">
        <v>31</v>
      </c>
      <c r="F11" s="19">
        <v>2020</v>
      </c>
      <c r="G11" s="20">
        <v>12000</v>
      </c>
      <c r="H11" s="11">
        <f t="shared" si="5"/>
        <v>1800</v>
      </c>
      <c r="I11" s="11">
        <f t="shared" si="4"/>
        <v>13800</v>
      </c>
      <c r="J11" s="11">
        <f>6900+6900</f>
        <v>13800</v>
      </c>
      <c r="K11" s="21">
        <f>I11-J11</f>
        <v>0</v>
      </c>
      <c r="L11" s="1" t="s">
        <v>13</v>
      </c>
    </row>
    <row r="12" spans="1:12" ht="17.399999999999999" x14ac:dyDescent="0.35">
      <c r="A12" s="8" t="str">
        <f t="shared" si="0"/>
        <v>2021</v>
      </c>
      <c r="B12" s="8"/>
      <c r="C12" s="18">
        <v>44294</v>
      </c>
      <c r="D12" s="19" t="s">
        <v>32</v>
      </c>
      <c r="E12" s="15" t="s">
        <v>33</v>
      </c>
      <c r="F12" s="19">
        <v>2021</v>
      </c>
      <c r="G12" s="20">
        <v>10000</v>
      </c>
      <c r="H12" s="11">
        <f t="shared" si="5"/>
        <v>1500</v>
      </c>
      <c r="I12" s="11">
        <f t="shared" si="4"/>
        <v>11500</v>
      </c>
      <c r="J12" s="11">
        <f>5750+5750</f>
        <v>11500</v>
      </c>
      <c r="K12" s="21">
        <f>I12-J12</f>
        <v>0</v>
      </c>
      <c r="L12" s="1" t="s">
        <v>13</v>
      </c>
    </row>
    <row r="13" spans="1:12" ht="17.399999999999999" x14ac:dyDescent="0.35">
      <c r="A13" s="8" t="str">
        <f t="shared" si="0"/>
        <v>2019</v>
      </c>
      <c r="B13" s="8"/>
      <c r="C13" s="18">
        <v>44306</v>
      </c>
      <c r="D13" s="19" t="s">
        <v>34</v>
      </c>
      <c r="E13" s="15" t="s">
        <v>35</v>
      </c>
      <c r="F13" s="19">
        <v>2019</v>
      </c>
      <c r="G13" s="20">
        <v>10000</v>
      </c>
      <c r="H13" s="11">
        <f t="shared" si="5"/>
        <v>1500</v>
      </c>
      <c r="I13" s="11">
        <f t="shared" si="4"/>
        <v>11500</v>
      </c>
      <c r="J13" s="11">
        <v>11500</v>
      </c>
      <c r="K13" s="21">
        <f>I13-J13</f>
        <v>0</v>
      </c>
      <c r="L13" s="1" t="s">
        <v>13</v>
      </c>
    </row>
    <row r="14" spans="1:12" ht="17.399999999999999" x14ac:dyDescent="0.35">
      <c r="A14" s="8" t="str">
        <f t="shared" si="0"/>
        <v>10101122822020</v>
      </c>
      <c r="B14" s="8">
        <v>1010112282</v>
      </c>
      <c r="C14" s="18">
        <v>44310</v>
      </c>
      <c r="D14" s="19" t="s">
        <v>36</v>
      </c>
      <c r="E14" s="15" t="s">
        <v>21</v>
      </c>
      <c r="F14" s="19">
        <v>2020</v>
      </c>
      <c r="G14" s="11">
        <v>10500</v>
      </c>
      <c r="H14" s="11">
        <f t="shared" si="5"/>
        <v>1575</v>
      </c>
      <c r="I14" s="11">
        <f t="shared" si="4"/>
        <v>12075</v>
      </c>
      <c r="J14" s="11">
        <f>5000+7075</f>
        <v>12075</v>
      </c>
      <c r="K14" s="21">
        <f>I14-J14</f>
        <v>0</v>
      </c>
      <c r="L14" s="1" t="s">
        <v>37</v>
      </c>
    </row>
    <row r="15" spans="1:12" ht="17.399999999999999" x14ac:dyDescent="0.35">
      <c r="A15" s="8" t="str">
        <f t="shared" si="0"/>
        <v>2020</v>
      </c>
      <c r="B15" s="8"/>
      <c r="C15" s="18">
        <v>44311</v>
      </c>
      <c r="D15" s="19" t="s">
        <v>38</v>
      </c>
      <c r="E15" s="15" t="s">
        <v>39</v>
      </c>
      <c r="F15" s="19">
        <v>2020</v>
      </c>
      <c r="G15" s="11">
        <v>9500</v>
      </c>
      <c r="H15" s="11">
        <f t="shared" si="5"/>
        <v>1425</v>
      </c>
      <c r="I15" s="11">
        <f t="shared" si="4"/>
        <v>10925</v>
      </c>
      <c r="J15" s="11">
        <v>5000</v>
      </c>
      <c r="K15" s="21">
        <v>0</v>
      </c>
      <c r="L15" s="1" t="s">
        <v>13</v>
      </c>
    </row>
    <row r="16" spans="1:12" ht="17.399999999999999" x14ac:dyDescent="0.35">
      <c r="A16" s="8" t="str">
        <f t="shared" si="0"/>
        <v>2020</v>
      </c>
      <c r="B16" s="8"/>
      <c r="C16" s="18"/>
      <c r="D16" s="19"/>
      <c r="E16" s="15" t="s">
        <v>40</v>
      </c>
      <c r="F16" s="19">
        <v>2020</v>
      </c>
      <c r="G16" s="11">
        <v>10000</v>
      </c>
      <c r="H16" s="11">
        <f t="shared" si="5"/>
        <v>1500</v>
      </c>
      <c r="I16" s="11">
        <f t="shared" si="4"/>
        <v>11500</v>
      </c>
      <c r="J16" s="11">
        <v>5750</v>
      </c>
      <c r="K16" s="21">
        <v>2875</v>
      </c>
      <c r="L16" s="1" t="s">
        <v>15</v>
      </c>
    </row>
    <row r="17" spans="1:12" ht="17.399999999999999" x14ac:dyDescent="0.35">
      <c r="A17" s="8" t="str">
        <f t="shared" si="0"/>
        <v>2019</v>
      </c>
      <c r="B17" s="8"/>
      <c r="C17" s="22">
        <v>43924</v>
      </c>
      <c r="D17" s="23" t="s">
        <v>23</v>
      </c>
      <c r="E17" s="15" t="s">
        <v>24</v>
      </c>
      <c r="F17" s="19">
        <v>2019</v>
      </c>
      <c r="G17" s="11">
        <v>10000</v>
      </c>
      <c r="H17" s="11">
        <f t="shared" si="5"/>
        <v>1500</v>
      </c>
      <c r="I17" s="11">
        <f t="shared" si="4"/>
        <v>11500</v>
      </c>
      <c r="J17" s="11">
        <v>5000</v>
      </c>
      <c r="K17" s="21">
        <v>0</v>
      </c>
      <c r="L17" s="1" t="s">
        <v>41</v>
      </c>
    </row>
    <row r="18" spans="1:12" ht="17.399999999999999" x14ac:dyDescent="0.35">
      <c r="A18" s="8" t="str">
        <f t="shared" si="0"/>
        <v>2020</v>
      </c>
      <c r="B18" s="8"/>
      <c r="C18" s="22"/>
      <c r="D18" s="19" t="s">
        <v>42</v>
      </c>
      <c r="E18" s="15" t="s">
        <v>43</v>
      </c>
      <c r="F18" s="19">
        <v>2020</v>
      </c>
      <c r="G18" s="11">
        <v>12000</v>
      </c>
      <c r="H18" s="11">
        <f t="shared" si="5"/>
        <v>1800</v>
      </c>
      <c r="I18" s="11">
        <f t="shared" si="4"/>
        <v>13800</v>
      </c>
      <c r="J18" s="11">
        <v>6900</v>
      </c>
      <c r="K18" s="21">
        <v>0</v>
      </c>
      <c r="L18" s="1" t="s">
        <v>15</v>
      </c>
    </row>
    <row r="19" spans="1:12" ht="17.399999999999999" x14ac:dyDescent="0.35">
      <c r="A19" s="8" t="str">
        <f t="shared" si="0"/>
        <v>2020</v>
      </c>
      <c r="B19" s="8"/>
      <c r="C19" s="22"/>
      <c r="D19" s="23" t="s">
        <v>44</v>
      </c>
      <c r="E19" s="15" t="s">
        <v>45</v>
      </c>
      <c r="F19" s="19">
        <v>2020</v>
      </c>
      <c r="G19" s="11">
        <v>50000</v>
      </c>
      <c r="H19" s="11">
        <f t="shared" si="5"/>
        <v>7500</v>
      </c>
      <c r="I19" s="11">
        <f t="shared" si="4"/>
        <v>57500</v>
      </c>
      <c r="J19" s="11">
        <v>57500</v>
      </c>
      <c r="K19" s="24">
        <f t="shared" ref="K19:K82" si="6">I19-J19</f>
        <v>0</v>
      </c>
      <c r="L19" s="1" t="s">
        <v>13</v>
      </c>
    </row>
    <row r="20" spans="1:12" ht="17.399999999999999" x14ac:dyDescent="0.35">
      <c r="A20" s="8" t="str">
        <f t="shared" si="0"/>
        <v>2020</v>
      </c>
      <c r="B20" s="8"/>
      <c r="C20" s="22"/>
      <c r="D20" s="23"/>
      <c r="E20" s="15" t="s">
        <v>46</v>
      </c>
      <c r="F20" s="19">
        <v>2020</v>
      </c>
      <c r="G20" s="11">
        <v>15000</v>
      </c>
      <c r="H20" s="11">
        <f t="shared" si="5"/>
        <v>2250</v>
      </c>
      <c r="I20" s="11">
        <f t="shared" si="4"/>
        <v>17250</v>
      </c>
      <c r="J20" s="11">
        <v>17250</v>
      </c>
      <c r="K20" s="24">
        <f t="shared" si="6"/>
        <v>0</v>
      </c>
      <c r="L20" s="1" t="s">
        <v>13</v>
      </c>
    </row>
    <row r="21" spans="1:12" ht="17.399999999999999" x14ac:dyDescent="0.35">
      <c r="A21" s="8" t="str">
        <f t="shared" si="0"/>
        <v>2020</v>
      </c>
      <c r="B21" s="8"/>
      <c r="C21" s="22"/>
      <c r="D21" s="23"/>
      <c r="E21" s="15" t="s">
        <v>47</v>
      </c>
      <c r="F21" s="19">
        <v>2020</v>
      </c>
      <c r="G21" s="11">
        <v>18000</v>
      </c>
      <c r="H21" s="11">
        <f t="shared" si="5"/>
        <v>2700</v>
      </c>
      <c r="I21" s="11">
        <f t="shared" si="4"/>
        <v>20700</v>
      </c>
      <c r="J21" s="11">
        <v>20700</v>
      </c>
      <c r="K21" s="24">
        <f t="shared" si="6"/>
        <v>0</v>
      </c>
      <c r="L21" s="1" t="s">
        <v>13</v>
      </c>
    </row>
    <row r="22" spans="1:12" ht="17.399999999999999" x14ac:dyDescent="0.35">
      <c r="A22" s="8" t="str">
        <f t="shared" si="0"/>
        <v>2020</v>
      </c>
      <c r="B22" s="8"/>
      <c r="C22" s="22"/>
      <c r="D22" s="23"/>
      <c r="E22" s="15" t="s">
        <v>45</v>
      </c>
      <c r="F22" s="19">
        <v>2020</v>
      </c>
      <c r="G22" s="11">
        <v>50000</v>
      </c>
      <c r="H22" s="11">
        <f t="shared" si="5"/>
        <v>7500</v>
      </c>
      <c r="I22" s="11">
        <f t="shared" si="4"/>
        <v>57500</v>
      </c>
      <c r="J22" s="11">
        <v>57500</v>
      </c>
      <c r="K22" s="24">
        <f t="shared" si="6"/>
        <v>0</v>
      </c>
      <c r="L22" s="1" t="s">
        <v>13</v>
      </c>
    </row>
    <row r="23" spans="1:12" ht="17.399999999999999" hidden="1" x14ac:dyDescent="0.35">
      <c r="A23" s="8" t="str">
        <f t="shared" si="0"/>
        <v>2020</v>
      </c>
      <c r="B23" s="8"/>
      <c r="C23" s="22"/>
      <c r="D23" s="19" t="s">
        <v>48</v>
      </c>
      <c r="E23" s="25" t="s">
        <v>49</v>
      </c>
      <c r="F23" s="26">
        <v>2020</v>
      </c>
      <c r="G23" s="27">
        <v>10000</v>
      </c>
      <c r="H23" s="27">
        <f t="shared" si="5"/>
        <v>1500</v>
      </c>
      <c r="I23" s="27">
        <f t="shared" si="4"/>
        <v>11500</v>
      </c>
      <c r="J23" s="27">
        <v>0</v>
      </c>
      <c r="K23" s="28">
        <f t="shared" si="6"/>
        <v>11500</v>
      </c>
      <c r="L23" s="1" t="s">
        <v>15</v>
      </c>
    </row>
    <row r="24" spans="1:12" ht="17.399999999999999" x14ac:dyDescent="0.35">
      <c r="A24" s="8" t="str">
        <f t="shared" si="0"/>
        <v>2019</v>
      </c>
      <c r="B24" s="8"/>
      <c r="C24" s="22"/>
      <c r="D24" s="19"/>
      <c r="E24" s="15" t="s">
        <v>50</v>
      </c>
      <c r="F24" s="19">
        <v>2019</v>
      </c>
      <c r="G24" s="11">
        <v>10000</v>
      </c>
      <c r="H24" s="11">
        <f t="shared" si="5"/>
        <v>1500</v>
      </c>
      <c r="I24" s="11">
        <f t="shared" si="4"/>
        <v>11500</v>
      </c>
      <c r="J24" s="11">
        <v>11500</v>
      </c>
      <c r="K24" s="24">
        <f t="shared" si="6"/>
        <v>0</v>
      </c>
      <c r="L24" s="1" t="s">
        <v>13</v>
      </c>
    </row>
    <row r="25" spans="1:12" ht="17.399999999999999" hidden="1" x14ac:dyDescent="0.35">
      <c r="A25" s="8" t="str">
        <f t="shared" si="0"/>
        <v>2020</v>
      </c>
      <c r="B25" s="8"/>
      <c r="C25" s="22"/>
      <c r="D25" s="19"/>
      <c r="E25" s="25" t="s">
        <v>50</v>
      </c>
      <c r="F25" s="26">
        <v>2020</v>
      </c>
      <c r="G25" s="27">
        <v>10000</v>
      </c>
      <c r="H25" s="27">
        <v>0</v>
      </c>
      <c r="I25" s="27">
        <f t="shared" si="4"/>
        <v>10000</v>
      </c>
      <c r="J25" s="27">
        <v>0</v>
      </c>
      <c r="K25" s="28">
        <f t="shared" si="6"/>
        <v>10000</v>
      </c>
      <c r="L25" s="1" t="s">
        <v>15</v>
      </c>
    </row>
    <row r="26" spans="1:12" ht="17.399999999999999" x14ac:dyDescent="0.35">
      <c r="A26" s="8" t="str">
        <f t="shared" si="0"/>
        <v>2021</v>
      </c>
      <c r="B26" s="8"/>
      <c r="C26" s="22"/>
      <c r="D26" s="19"/>
      <c r="E26" s="15" t="s">
        <v>51</v>
      </c>
      <c r="F26" s="19">
        <v>2021</v>
      </c>
      <c r="G26" s="11">
        <v>18000</v>
      </c>
      <c r="H26" s="11">
        <f t="shared" ref="H26:H89" si="7">G26*0.15</f>
        <v>2700</v>
      </c>
      <c r="I26" s="11">
        <f t="shared" si="4"/>
        <v>20700</v>
      </c>
      <c r="J26" s="11">
        <f>10350+10350</f>
        <v>20700</v>
      </c>
      <c r="K26" s="24">
        <f t="shared" si="6"/>
        <v>0</v>
      </c>
      <c r="L26" s="1" t="s">
        <v>13</v>
      </c>
    </row>
    <row r="27" spans="1:12" ht="17.399999999999999" x14ac:dyDescent="0.35">
      <c r="A27" s="8" t="str">
        <f t="shared" si="0"/>
        <v>2021مراجعه</v>
      </c>
      <c r="B27" s="8"/>
      <c r="C27" s="22"/>
      <c r="D27" s="19"/>
      <c r="E27" s="15" t="s">
        <v>52</v>
      </c>
      <c r="F27" s="19" t="s">
        <v>53</v>
      </c>
      <c r="G27" s="11">
        <v>25000</v>
      </c>
      <c r="H27" s="11">
        <f t="shared" si="7"/>
        <v>3750</v>
      </c>
      <c r="I27" s="11">
        <f t="shared" si="4"/>
        <v>28750</v>
      </c>
      <c r="J27" s="11">
        <f>14375+14375</f>
        <v>28750</v>
      </c>
      <c r="K27" s="21">
        <f t="shared" si="6"/>
        <v>0</v>
      </c>
      <c r="L27" s="1" t="s">
        <v>13</v>
      </c>
    </row>
    <row r="28" spans="1:12" ht="17.399999999999999" x14ac:dyDescent="0.35">
      <c r="A28" s="8" t="str">
        <f t="shared" si="0"/>
        <v>2019</v>
      </c>
      <c r="B28" s="8"/>
      <c r="C28" s="22"/>
      <c r="D28" s="19"/>
      <c r="E28" s="15" t="s">
        <v>54</v>
      </c>
      <c r="F28" s="19">
        <v>2019</v>
      </c>
      <c r="G28" s="11">
        <v>12500</v>
      </c>
      <c r="H28" s="11">
        <f t="shared" si="7"/>
        <v>1875</v>
      </c>
      <c r="I28" s="11">
        <f t="shared" si="4"/>
        <v>14375</v>
      </c>
      <c r="J28" s="11">
        <v>14375</v>
      </c>
      <c r="K28" s="24">
        <f t="shared" si="6"/>
        <v>0</v>
      </c>
      <c r="L28" s="1" t="s">
        <v>13</v>
      </c>
    </row>
    <row r="29" spans="1:12" ht="17.399999999999999" x14ac:dyDescent="0.35">
      <c r="A29" s="8" t="str">
        <f t="shared" si="0"/>
        <v>2020مراجعه</v>
      </c>
      <c r="B29" s="8"/>
      <c r="C29" s="22">
        <v>44538</v>
      </c>
      <c r="D29" s="19" t="s">
        <v>55</v>
      </c>
      <c r="E29" s="15" t="s">
        <v>56</v>
      </c>
      <c r="F29" s="19" t="s">
        <v>57</v>
      </c>
      <c r="G29" s="11">
        <v>13000</v>
      </c>
      <c r="H29" s="11">
        <f t="shared" si="7"/>
        <v>1950</v>
      </c>
      <c r="I29" s="11">
        <f t="shared" si="4"/>
        <v>14950</v>
      </c>
      <c r="J29" s="11">
        <v>14950</v>
      </c>
      <c r="K29" s="24">
        <f t="shared" si="6"/>
        <v>0</v>
      </c>
      <c r="L29" s="1" t="s">
        <v>13</v>
      </c>
    </row>
    <row r="30" spans="1:12" ht="17.399999999999999" x14ac:dyDescent="0.35">
      <c r="A30" s="8" t="str">
        <f t="shared" si="0"/>
        <v>2020مراجعه</v>
      </c>
      <c r="B30" s="8"/>
      <c r="C30" s="23"/>
      <c r="D30" s="19" t="s">
        <v>58</v>
      </c>
      <c r="E30" s="15" t="s">
        <v>59</v>
      </c>
      <c r="F30" s="19" t="s">
        <v>57</v>
      </c>
      <c r="G30" s="11">
        <v>15000</v>
      </c>
      <c r="H30" s="11">
        <f t="shared" si="7"/>
        <v>2250</v>
      </c>
      <c r="I30" s="11">
        <f t="shared" si="4"/>
        <v>17250</v>
      </c>
      <c r="J30" s="11">
        <v>17250</v>
      </c>
      <c r="K30" s="24">
        <f t="shared" si="6"/>
        <v>0</v>
      </c>
      <c r="L30" s="1" t="s">
        <v>13</v>
      </c>
    </row>
    <row r="31" spans="1:12" ht="17.399999999999999" x14ac:dyDescent="0.35">
      <c r="A31" s="8" t="str">
        <f t="shared" si="0"/>
        <v>2020</v>
      </c>
      <c r="B31" s="8"/>
      <c r="C31" s="23"/>
      <c r="D31" s="19" t="s">
        <v>60</v>
      </c>
      <c r="E31" s="15" t="s">
        <v>61</v>
      </c>
      <c r="F31" s="19">
        <v>2020</v>
      </c>
      <c r="G31" s="11">
        <v>12000</v>
      </c>
      <c r="H31" s="11">
        <f t="shared" si="7"/>
        <v>1800</v>
      </c>
      <c r="I31" s="11">
        <f t="shared" si="4"/>
        <v>13800</v>
      </c>
      <c r="J31" s="11">
        <v>13800</v>
      </c>
      <c r="K31" s="24">
        <f t="shared" si="6"/>
        <v>0</v>
      </c>
      <c r="L31" s="1" t="s">
        <v>13</v>
      </c>
    </row>
    <row r="32" spans="1:12" ht="17.399999999999999" x14ac:dyDescent="0.35">
      <c r="A32" s="8" t="str">
        <f t="shared" si="0"/>
        <v>2019مراجعه</v>
      </c>
      <c r="B32" s="8"/>
      <c r="C32" s="23" t="s">
        <v>62</v>
      </c>
      <c r="D32" s="19" t="s">
        <v>63</v>
      </c>
      <c r="E32" s="15" t="s">
        <v>64</v>
      </c>
      <c r="F32" s="19" t="s">
        <v>65</v>
      </c>
      <c r="G32" s="11">
        <v>12000</v>
      </c>
      <c r="H32" s="11">
        <f t="shared" si="7"/>
        <v>1800</v>
      </c>
      <c r="I32" s="11">
        <f t="shared" si="4"/>
        <v>13800</v>
      </c>
      <c r="J32" s="11">
        <f>9000+4700</f>
        <v>13700</v>
      </c>
      <c r="K32" s="21">
        <f t="shared" si="6"/>
        <v>100</v>
      </c>
      <c r="L32" s="1" t="s">
        <v>13</v>
      </c>
    </row>
    <row r="33" spans="1:12" ht="17.399999999999999" x14ac:dyDescent="0.35">
      <c r="A33" s="8" t="str">
        <f t="shared" si="0"/>
        <v>2020مراجعه</v>
      </c>
      <c r="B33" s="8"/>
      <c r="C33" s="23" t="s">
        <v>62</v>
      </c>
      <c r="D33" s="19" t="s">
        <v>63</v>
      </c>
      <c r="E33" s="15" t="s">
        <v>64</v>
      </c>
      <c r="F33" s="19" t="s">
        <v>57</v>
      </c>
      <c r="G33" s="11">
        <v>12000</v>
      </c>
      <c r="H33" s="11">
        <f t="shared" si="7"/>
        <v>1800</v>
      </c>
      <c r="I33" s="11">
        <f t="shared" si="4"/>
        <v>13800</v>
      </c>
      <c r="J33" s="11">
        <f>13800</f>
        <v>13800</v>
      </c>
      <c r="K33" s="21">
        <f t="shared" si="6"/>
        <v>0</v>
      </c>
      <c r="L33" s="1" t="s">
        <v>13</v>
      </c>
    </row>
    <row r="34" spans="1:12" ht="17.399999999999999" x14ac:dyDescent="0.35">
      <c r="A34" s="8" t="str">
        <f t="shared" si="0"/>
        <v>2021مراجعه</v>
      </c>
      <c r="B34" s="8"/>
      <c r="C34" s="23" t="s">
        <v>62</v>
      </c>
      <c r="D34" s="19" t="s">
        <v>63</v>
      </c>
      <c r="E34" s="15" t="s">
        <v>64</v>
      </c>
      <c r="F34" s="19" t="s">
        <v>53</v>
      </c>
      <c r="G34" s="11">
        <v>12000</v>
      </c>
      <c r="H34" s="11">
        <f t="shared" si="7"/>
        <v>1800</v>
      </c>
      <c r="I34" s="11">
        <f t="shared" si="4"/>
        <v>13800</v>
      </c>
      <c r="J34" s="11">
        <f>13800</f>
        <v>13800</v>
      </c>
      <c r="K34" s="21">
        <f t="shared" si="6"/>
        <v>0</v>
      </c>
      <c r="L34" s="1" t="s">
        <v>13</v>
      </c>
    </row>
    <row r="35" spans="1:12" ht="17.399999999999999" x14ac:dyDescent="0.35">
      <c r="A35" s="8" t="str">
        <f t="shared" si="0"/>
        <v>2021مراجعه</v>
      </c>
      <c r="B35" s="8"/>
      <c r="C35" s="23" t="s">
        <v>66</v>
      </c>
      <c r="D35" s="19" t="s">
        <v>67</v>
      </c>
      <c r="E35" s="15" t="s">
        <v>68</v>
      </c>
      <c r="F35" s="19" t="s">
        <v>53</v>
      </c>
      <c r="G35" s="11">
        <v>30000</v>
      </c>
      <c r="H35" s="11">
        <f t="shared" si="7"/>
        <v>4500</v>
      </c>
      <c r="I35" s="11">
        <f t="shared" si="4"/>
        <v>34500</v>
      </c>
      <c r="J35" s="11">
        <f>17250+17250</f>
        <v>34500</v>
      </c>
      <c r="K35" s="21">
        <f t="shared" si="6"/>
        <v>0</v>
      </c>
      <c r="L35" s="1" t="s">
        <v>13</v>
      </c>
    </row>
    <row r="36" spans="1:12" ht="17.399999999999999" hidden="1" x14ac:dyDescent="0.35">
      <c r="A36" s="8" t="str">
        <f t="shared" si="0"/>
        <v/>
      </c>
      <c r="B36" s="8"/>
      <c r="C36" s="29" t="s">
        <v>69</v>
      </c>
      <c r="D36" s="19" t="s">
        <v>70</v>
      </c>
      <c r="E36" s="15" t="s">
        <v>71</v>
      </c>
      <c r="F36" s="19"/>
      <c r="G36" s="11">
        <v>0</v>
      </c>
      <c r="H36" s="11">
        <f t="shared" si="7"/>
        <v>0</v>
      </c>
      <c r="I36" s="11">
        <f t="shared" si="4"/>
        <v>0</v>
      </c>
      <c r="J36" s="11">
        <v>0</v>
      </c>
      <c r="K36" s="24">
        <f t="shared" si="6"/>
        <v>0</v>
      </c>
      <c r="L36" s="1" t="s">
        <v>41</v>
      </c>
    </row>
    <row r="37" spans="1:12" ht="17.399999999999999" x14ac:dyDescent="0.35">
      <c r="A37" s="8" t="str">
        <f t="shared" si="0"/>
        <v>2021تقرير</v>
      </c>
      <c r="B37" s="8"/>
      <c r="C37" s="22">
        <v>44682</v>
      </c>
      <c r="D37" s="19" t="s">
        <v>72</v>
      </c>
      <c r="E37" s="15" t="s">
        <v>73</v>
      </c>
      <c r="F37" s="19" t="s">
        <v>74</v>
      </c>
      <c r="G37" s="11">
        <f>8000/1.15</f>
        <v>6956.521739130435</v>
      </c>
      <c r="H37" s="11">
        <f t="shared" si="7"/>
        <v>1043.4782608695652</v>
      </c>
      <c r="I37" s="11">
        <f t="shared" si="4"/>
        <v>8000</v>
      </c>
      <c r="J37" s="11">
        <v>8000</v>
      </c>
      <c r="K37" s="24">
        <f t="shared" si="6"/>
        <v>0</v>
      </c>
      <c r="L37" s="1" t="s">
        <v>13</v>
      </c>
    </row>
    <row r="38" spans="1:12" ht="17.399999999999999" x14ac:dyDescent="0.35">
      <c r="A38" s="8" t="str">
        <f t="shared" si="0"/>
        <v>2019مراجعه</v>
      </c>
      <c r="B38" s="8"/>
      <c r="C38" s="22">
        <v>44805</v>
      </c>
      <c r="D38" s="19" t="s">
        <v>75</v>
      </c>
      <c r="E38" s="15" t="s">
        <v>76</v>
      </c>
      <c r="F38" s="19" t="s">
        <v>65</v>
      </c>
      <c r="G38" s="11">
        <v>8000</v>
      </c>
      <c r="H38" s="11">
        <f t="shared" si="7"/>
        <v>1200</v>
      </c>
      <c r="I38" s="11">
        <f t="shared" si="4"/>
        <v>9200</v>
      </c>
      <c r="J38" s="11">
        <f>4600+4600</f>
        <v>9200</v>
      </c>
      <c r="K38" s="21">
        <f t="shared" si="6"/>
        <v>0</v>
      </c>
      <c r="L38" s="1" t="s">
        <v>13</v>
      </c>
    </row>
    <row r="39" spans="1:12" ht="17.399999999999999" x14ac:dyDescent="0.35">
      <c r="A39" s="8" t="str">
        <f t="shared" si="0"/>
        <v>2021مراجعه</v>
      </c>
      <c r="B39" s="8"/>
      <c r="C39" s="22">
        <v>44835</v>
      </c>
      <c r="D39" s="19" t="s">
        <v>77</v>
      </c>
      <c r="E39" s="15" t="s">
        <v>78</v>
      </c>
      <c r="F39" s="19" t="s">
        <v>53</v>
      </c>
      <c r="G39" s="11">
        <v>20000</v>
      </c>
      <c r="H39" s="11">
        <f t="shared" si="7"/>
        <v>3000</v>
      </c>
      <c r="I39" s="11">
        <f t="shared" si="4"/>
        <v>23000</v>
      </c>
      <c r="J39" s="11">
        <f>11500+11500</f>
        <v>23000</v>
      </c>
      <c r="K39" s="24">
        <f t="shared" si="6"/>
        <v>0</v>
      </c>
      <c r="L39" s="1" t="s">
        <v>13</v>
      </c>
    </row>
    <row r="40" spans="1:12" ht="17.399999999999999" x14ac:dyDescent="0.35">
      <c r="A40" s="8" t="str">
        <f t="shared" si="0"/>
        <v xml:space="preserve">تقرير </v>
      </c>
      <c r="B40" s="8"/>
      <c r="C40" s="22">
        <v>44896</v>
      </c>
      <c r="D40" s="19" t="s">
        <v>79</v>
      </c>
      <c r="E40" s="15" t="s">
        <v>80</v>
      </c>
      <c r="F40" s="19" t="s">
        <v>81</v>
      </c>
      <c r="G40" s="11">
        <v>10000</v>
      </c>
      <c r="H40" s="11">
        <f t="shared" si="7"/>
        <v>1500</v>
      </c>
      <c r="I40" s="11">
        <f t="shared" si="4"/>
        <v>11500</v>
      </c>
      <c r="J40" s="11">
        <v>11500</v>
      </c>
      <c r="K40" s="24">
        <f t="shared" si="6"/>
        <v>0</v>
      </c>
      <c r="L40" s="1" t="s">
        <v>13</v>
      </c>
    </row>
    <row r="41" spans="1:12" ht="17.399999999999999" x14ac:dyDescent="0.35">
      <c r="A41" s="8" t="str">
        <f t="shared" si="0"/>
        <v>2019</v>
      </c>
      <c r="B41" s="8"/>
      <c r="C41" s="22">
        <v>44562</v>
      </c>
      <c r="D41" s="19" t="s">
        <v>82</v>
      </c>
      <c r="E41" s="15" t="s">
        <v>61</v>
      </c>
      <c r="F41" s="19">
        <v>2019</v>
      </c>
      <c r="G41" s="11">
        <v>12000</v>
      </c>
      <c r="H41" s="11">
        <f t="shared" si="7"/>
        <v>1800</v>
      </c>
      <c r="I41" s="11">
        <f t="shared" si="4"/>
        <v>13800</v>
      </c>
      <c r="J41" s="11">
        <f>6000+7800</f>
        <v>13800</v>
      </c>
      <c r="K41" s="21">
        <f t="shared" si="6"/>
        <v>0</v>
      </c>
      <c r="L41" s="1" t="s">
        <v>13</v>
      </c>
    </row>
    <row r="42" spans="1:12" ht="17.399999999999999" x14ac:dyDescent="0.35">
      <c r="A42" s="8" t="str">
        <f t="shared" si="0"/>
        <v>2021</v>
      </c>
      <c r="B42" s="8"/>
      <c r="C42" s="23" t="s">
        <v>83</v>
      </c>
      <c r="D42" s="19" t="s">
        <v>84</v>
      </c>
      <c r="E42" s="15" t="s">
        <v>85</v>
      </c>
      <c r="F42" s="19">
        <v>2021</v>
      </c>
      <c r="G42" s="30">
        <f>8000/1.15</f>
        <v>6956.521739130435</v>
      </c>
      <c r="H42" s="11">
        <f t="shared" si="7"/>
        <v>1043.4782608695652</v>
      </c>
      <c r="I42" s="11">
        <f t="shared" si="4"/>
        <v>8000</v>
      </c>
      <c r="J42" s="11">
        <f>4000+4000</f>
        <v>8000</v>
      </c>
      <c r="K42" s="21">
        <f t="shared" si="6"/>
        <v>0</v>
      </c>
      <c r="L42" s="1" t="s">
        <v>13</v>
      </c>
    </row>
    <row r="43" spans="1:12" ht="17.399999999999999" x14ac:dyDescent="0.35">
      <c r="A43" s="8" t="str">
        <f t="shared" si="0"/>
        <v>2021</v>
      </c>
      <c r="B43" s="8"/>
      <c r="C43" s="31"/>
      <c r="D43" s="19" t="s">
        <v>86</v>
      </c>
      <c r="E43" s="15" t="s">
        <v>87</v>
      </c>
      <c r="F43" s="19">
        <v>2021</v>
      </c>
      <c r="G43" s="30">
        <f>8000/1.15</f>
        <v>6956.521739130435</v>
      </c>
      <c r="H43" s="11">
        <f t="shared" si="7"/>
        <v>1043.4782608695652</v>
      </c>
      <c r="I43" s="11">
        <f t="shared" si="4"/>
        <v>8000</v>
      </c>
      <c r="J43" s="11">
        <f>4000+4000</f>
        <v>8000</v>
      </c>
      <c r="K43" s="21">
        <f t="shared" si="6"/>
        <v>0</v>
      </c>
      <c r="L43" s="1" t="s">
        <v>13</v>
      </c>
    </row>
    <row r="44" spans="1:12" ht="17.399999999999999" x14ac:dyDescent="0.35">
      <c r="A44" s="8" t="str">
        <f t="shared" si="0"/>
        <v>2021مراجعه</v>
      </c>
      <c r="B44" s="8"/>
      <c r="C44" s="29" t="s">
        <v>88</v>
      </c>
      <c r="D44" s="19" t="s">
        <v>89</v>
      </c>
      <c r="E44" s="15" t="s">
        <v>90</v>
      </c>
      <c r="F44" s="19" t="s">
        <v>53</v>
      </c>
      <c r="G44" s="11">
        <v>14500</v>
      </c>
      <c r="H44" s="11">
        <f t="shared" si="7"/>
        <v>2175</v>
      </c>
      <c r="I44" s="11">
        <f t="shared" si="4"/>
        <v>16675</v>
      </c>
      <c r="J44" s="11">
        <f>7250+9425</f>
        <v>16675</v>
      </c>
      <c r="K44" s="21">
        <f t="shared" si="6"/>
        <v>0</v>
      </c>
      <c r="L44" s="1" t="s">
        <v>13</v>
      </c>
    </row>
    <row r="45" spans="1:12" ht="17.399999999999999" x14ac:dyDescent="0.35">
      <c r="A45" s="8" t="str">
        <f t="shared" si="0"/>
        <v>2021مراجعه</v>
      </c>
      <c r="B45" s="8"/>
      <c r="C45" s="23" t="s">
        <v>88</v>
      </c>
      <c r="D45" s="19" t="s">
        <v>91</v>
      </c>
      <c r="E45" s="15" t="s">
        <v>47</v>
      </c>
      <c r="F45" s="19" t="s">
        <v>53</v>
      </c>
      <c r="G45" s="11">
        <v>18000</v>
      </c>
      <c r="H45" s="11">
        <f t="shared" si="7"/>
        <v>2700</v>
      </c>
      <c r="I45" s="11">
        <f t="shared" si="4"/>
        <v>20700</v>
      </c>
      <c r="J45" s="11">
        <f>10350+10350</f>
        <v>20700</v>
      </c>
      <c r="K45" s="21">
        <f t="shared" si="6"/>
        <v>0</v>
      </c>
      <c r="L45" s="1" t="s">
        <v>13</v>
      </c>
    </row>
    <row r="46" spans="1:12" ht="17.399999999999999" x14ac:dyDescent="0.35">
      <c r="A46" s="8" t="str">
        <f t="shared" si="0"/>
        <v>2019مراجعه</v>
      </c>
      <c r="B46" s="8"/>
      <c r="C46" s="23" t="s">
        <v>88</v>
      </c>
      <c r="D46" s="19" t="s">
        <v>92</v>
      </c>
      <c r="E46" s="15" t="s">
        <v>93</v>
      </c>
      <c r="F46" s="19" t="s">
        <v>65</v>
      </c>
      <c r="G46" s="30">
        <v>13333.33</v>
      </c>
      <c r="H46" s="11">
        <f t="shared" si="7"/>
        <v>1999.9994999999999</v>
      </c>
      <c r="I46" s="11">
        <f t="shared" si="4"/>
        <v>15333.3295</v>
      </c>
      <c r="J46" s="11">
        <v>15333</v>
      </c>
      <c r="K46" s="21">
        <f t="shared" si="6"/>
        <v>0.32949999999982538</v>
      </c>
      <c r="L46" s="1" t="s">
        <v>13</v>
      </c>
    </row>
    <row r="47" spans="1:12" ht="17.399999999999999" x14ac:dyDescent="0.35">
      <c r="A47" s="8" t="str">
        <f t="shared" si="0"/>
        <v>2020مراجعه</v>
      </c>
      <c r="B47" s="8"/>
      <c r="C47" s="23" t="s">
        <v>88</v>
      </c>
      <c r="D47" s="19" t="s">
        <v>92</v>
      </c>
      <c r="E47" s="15" t="s">
        <v>93</v>
      </c>
      <c r="F47" s="19" t="s">
        <v>57</v>
      </c>
      <c r="G47" s="30">
        <v>13333.33</v>
      </c>
      <c r="H47" s="11">
        <f t="shared" si="7"/>
        <v>1999.9994999999999</v>
      </c>
      <c r="I47" s="11">
        <f t="shared" si="4"/>
        <v>15333.3295</v>
      </c>
      <c r="J47" s="11">
        <v>15333</v>
      </c>
      <c r="K47" s="21">
        <f t="shared" si="6"/>
        <v>0.32949999999982538</v>
      </c>
      <c r="L47" s="1" t="s">
        <v>13</v>
      </c>
    </row>
    <row r="48" spans="1:12" ht="17.399999999999999" x14ac:dyDescent="0.35">
      <c r="A48" s="8" t="str">
        <f t="shared" si="0"/>
        <v>2021مراجعه</v>
      </c>
      <c r="B48" s="8"/>
      <c r="C48" s="23" t="s">
        <v>88</v>
      </c>
      <c r="D48" s="19" t="s">
        <v>92</v>
      </c>
      <c r="E48" s="15" t="s">
        <v>93</v>
      </c>
      <c r="F48" s="19" t="s">
        <v>53</v>
      </c>
      <c r="G48" s="11">
        <v>13333.33</v>
      </c>
      <c r="H48" s="11">
        <f t="shared" si="7"/>
        <v>1999.9994999999999</v>
      </c>
      <c r="I48" s="11">
        <f t="shared" si="4"/>
        <v>15333.3295</v>
      </c>
      <c r="J48" s="11">
        <v>15333</v>
      </c>
      <c r="K48" s="21">
        <f t="shared" si="6"/>
        <v>0.32949999999982538</v>
      </c>
      <c r="L48" s="1" t="s">
        <v>13</v>
      </c>
    </row>
    <row r="49" spans="1:12" ht="17.399999999999999" x14ac:dyDescent="0.35">
      <c r="A49" s="8" t="str">
        <f t="shared" si="0"/>
        <v>2021مراجعه</v>
      </c>
      <c r="B49" s="8"/>
      <c r="C49" s="23" t="s">
        <v>94</v>
      </c>
      <c r="D49" s="19" t="s">
        <v>95</v>
      </c>
      <c r="E49" s="15" t="s">
        <v>90</v>
      </c>
      <c r="F49" s="19" t="s">
        <v>53</v>
      </c>
      <c r="G49" s="11">
        <v>6500</v>
      </c>
      <c r="H49" s="11">
        <f t="shared" si="7"/>
        <v>975</v>
      </c>
      <c r="I49" s="11">
        <f t="shared" si="4"/>
        <v>7475</v>
      </c>
      <c r="J49" s="11">
        <v>7475</v>
      </c>
      <c r="K49" s="24">
        <f t="shared" si="6"/>
        <v>0</v>
      </c>
      <c r="L49" s="1" t="s">
        <v>13</v>
      </c>
    </row>
    <row r="50" spans="1:12" ht="17.399999999999999" x14ac:dyDescent="0.35">
      <c r="A50" s="8" t="str">
        <f t="shared" si="0"/>
        <v>2021مراجعه</v>
      </c>
      <c r="B50" s="8"/>
      <c r="C50" s="23" t="s">
        <v>96</v>
      </c>
      <c r="D50" s="19" t="s">
        <v>97</v>
      </c>
      <c r="E50" s="15" t="s">
        <v>98</v>
      </c>
      <c r="F50" s="19" t="s">
        <v>53</v>
      </c>
      <c r="G50" s="11">
        <v>9500</v>
      </c>
      <c r="H50" s="11">
        <f t="shared" si="7"/>
        <v>1425</v>
      </c>
      <c r="I50" s="11">
        <f t="shared" si="4"/>
        <v>10925</v>
      </c>
      <c r="J50" s="11">
        <f>5462.5+5462.5</f>
        <v>10925</v>
      </c>
      <c r="K50" s="21">
        <f t="shared" si="6"/>
        <v>0</v>
      </c>
      <c r="L50" s="1" t="s">
        <v>13</v>
      </c>
    </row>
    <row r="51" spans="1:12" ht="17.399999999999999" x14ac:dyDescent="0.35">
      <c r="A51" s="8" t="str">
        <f t="shared" si="0"/>
        <v>2021مراجعه</v>
      </c>
      <c r="B51" s="8"/>
      <c r="C51" s="23" t="s">
        <v>96</v>
      </c>
      <c r="D51" s="19" t="s">
        <v>99</v>
      </c>
      <c r="E51" s="15" t="s">
        <v>100</v>
      </c>
      <c r="F51" s="19" t="s">
        <v>53</v>
      </c>
      <c r="G51" s="11">
        <v>14000</v>
      </c>
      <c r="H51" s="11">
        <f t="shared" si="7"/>
        <v>2100</v>
      </c>
      <c r="I51" s="11">
        <f t="shared" si="4"/>
        <v>16100</v>
      </c>
      <c r="J51" s="11">
        <f>8050+8050</f>
        <v>16100</v>
      </c>
      <c r="K51" s="21">
        <f t="shared" si="6"/>
        <v>0</v>
      </c>
      <c r="L51" s="1" t="s">
        <v>13</v>
      </c>
    </row>
    <row r="52" spans="1:12" ht="17.399999999999999" x14ac:dyDescent="0.35">
      <c r="A52" s="8" t="str">
        <f t="shared" si="0"/>
        <v>2021تقرير</v>
      </c>
      <c r="B52" s="8"/>
      <c r="C52" s="23" t="s">
        <v>101</v>
      </c>
      <c r="D52" s="19" t="s">
        <v>102</v>
      </c>
      <c r="E52" s="15" t="s">
        <v>103</v>
      </c>
      <c r="F52" s="19" t="s">
        <v>74</v>
      </c>
      <c r="G52" s="11">
        <f>8000/1.15</f>
        <v>6956.521739130435</v>
      </c>
      <c r="H52" s="11">
        <f t="shared" si="7"/>
        <v>1043.4782608695652</v>
      </c>
      <c r="I52" s="11">
        <f t="shared" si="4"/>
        <v>8000</v>
      </c>
      <c r="J52" s="11">
        <v>8000</v>
      </c>
      <c r="K52" s="24">
        <f t="shared" si="6"/>
        <v>0</v>
      </c>
      <c r="L52" s="1" t="s">
        <v>13</v>
      </c>
    </row>
    <row r="53" spans="1:12" ht="17.399999999999999" x14ac:dyDescent="0.35">
      <c r="A53" s="8" t="str">
        <f t="shared" si="0"/>
        <v>2021تقرير</v>
      </c>
      <c r="B53" s="8"/>
      <c r="C53" s="23" t="s">
        <v>104</v>
      </c>
      <c r="D53" s="19" t="s">
        <v>105</v>
      </c>
      <c r="E53" s="15" t="s">
        <v>106</v>
      </c>
      <c r="F53" s="19" t="s">
        <v>74</v>
      </c>
      <c r="G53" s="11">
        <f>8000/1.15</f>
        <v>6956.521739130435</v>
      </c>
      <c r="H53" s="11">
        <f t="shared" si="7"/>
        <v>1043.4782608695652</v>
      </c>
      <c r="I53" s="11">
        <f t="shared" si="4"/>
        <v>8000</v>
      </c>
      <c r="J53" s="11">
        <v>8000</v>
      </c>
      <c r="K53" s="24">
        <f t="shared" si="6"/>
        <v>0</v>
      </c>
      <c r="L53" s="1" t="s">
        <v>13</v>
      </c>
    </row>
    <row r="54" spans="1:12" ht="17.399999999999999" x14ac:dyDescent="0.35">
      <c r="A54" s="8" t="str">
        <f t="shared" si="0"/>
        <v>2021مراجعه</v>
      </c>
      <c r="B54" s="8"/>
      <c r="C54" s="22">
        <v>44775</v>
      </c>
      <c r="D54" s="19" t="s">
        <v>107</v>
      </c>
      <c r="E54" s="15" t="s">
        <v>108</v>
      </c>
      <c r="F54" s="19" t="s">
        <v>53</v>
      </c>
      <c r="G54" s="11">
        <f>9000/1.15</f>
        <v>7826.0869565217399</v>
      </c>
      <c r="H54" s="11">
        <f t="shared" si="7"/>
        <v>1173.913043478261</v>
      </c>
      <c r="I54" s="11">
        <f t="shared" si="4"/>
        <v>9000</v>
      </c>
      <c r="J54" s="11">
        <v>9000</v>
      </c>
      <c r="K54" s="24">
        <f t="shared" si="6"/>
        <v>0</v>
      </c>
      <c r="L54" s="1" t="s">
        <v>13</v>
      </c>
    </row>
    <row r="55" spans="1:12" ht="17.399999999999999" x14ac:dyDescent="0.35">
      <c r="A55" s="8" t="str">
        <f t="shared" si="0"/>
        <v>2021تقرير</v>
      </c>
      <c r="B55" s="8"/>
      <c r="C55" s="23" t="s">
        <v>109</v>
      </c>
      <c r="D55" s="19" t="s">
        <v>110</v>
      </c>
      <c r="E55" s="15" t="s">
        <v>111</v>
      </c>
      <c r="F55" s="19" t="s">
        <v>74</v>
      </c>
      <c r="G55" s="11">
        <f>6500/1.15</f>
        <v>5652.1739130434789</v>
      </c>
      <c r="H55" s="11">
        <f t="shared" si="7"/>
        <v>847.82608695652186</v>
      </c>
      <c r="I55" s="11">
        <f t="shared" si="4"/>
        <v>6500.0000000000009</v>
      </c>
      <c r="J55" s="11">
        <v>6500</v>
      </c>
      <c r="K55" s="24">
        <f t="shared" si="6"/>
        <v>0</v>
      </c>
      <c r="L55" s="1" t="s">
        <v>13</v>
      </c>
    </row>
    <row r="56" spans="1:12" ht="17.399999999999999" x14ac:dyDescent="0.35">
      <c r="A56" s="8" t="str">
        <f t="shared" si="0"/>
        <v>2021</v>
      </c>
      <c r="B56" s="8"/>
      <c r="C56" s="23" t="s">
        <v>109</v>
      </c>
      <c r="D56" s="19" t="s">
        <v>112</v>
      </c>
      <c r="E56" s="15" t="s">
        <v>113</v>
      </c>
      <c r="F56" s="19">
        <v>2021</v>
      </c>
      <c r="G56" s="11">
        <v>13000</v>
      </c>
      <c r="H56" s="11">
        <f t="shared" si="7"/>
        <v>1950</v>
      </c>
      <c r="I56" s="11">
        <f t="shared" si="4"/>
        <v>14950</v>
      </c>
      <c r="J56" s="11">
        <f>7475+7475</f>
        <v>14950</v>
      </c>
      <c r="K56" s="21">
        <f t="shared" si="6"/>
        <v>0</v>
      </c>
      <c r="L56" s="1" t="s">
        <v>114</v>
      </c>
    </row>
    <row r="57" spans="1:12" ht="17.399999999999999" x14ac:dyDescent="0.35">
      <c r="A57" s="8" t="str">
        <f t="shared" si="0"/>
        <v>10102804382021</v>
      </c>
      <c r="B57" s="8">
        <v>1010280438</v>
      </c>
      <c r="C57" s="29" t="s">
        <v>109</v>
      </c>
      <c r="D57" s="19" t="s">
        <v>115</v>
      </c>
      <c r="E57" s="32" t="s">
        <v>116</v>
      </c>
      <c r="F57" s="19">
        <v>2021</v>
      </c>
      <c r="G57" s="11">
        <v>10000</v>
      </c>
      <c r="H57" s="11">
        <f t="shared" si="7"/>
        <v>1500</v>
      </c>
      <c r="I57" s="11">
        <f t="shared" si="4"/>
        <v>11500</v>
      </c>
      <c r="J57" s="11">
        <f>5750+5750</f>
        <v>11500</v>
      </c>
      <c r="K57" s="21">
        <f t="shared" si="6"/>
        <v>0</v>
      </c>
      <c r="L57" s="1" t="s">
        <v>117</v>
      </c>
    </row>
    <row r="58" spans="1:12" ht="17.399999999999999" hidden="1" x14ac:dyDescent="0.35">
      <c r="A58" s="8" t="str">
        <f t="shared" si="0"/>
        <v>2021</v>
      </c>
      <c r="B58" s="8"/>
      <c r="C58" s="22"/>
      <c r="D58" s="19" t="s">
        <v>118</v>
      </c>
      <c r="E58" s="15" t="s">
        <v>119</v>
      </c>
      <c r="F58" s="19">
        <v>2021</v>
      </c>
      <c r="G58" s="11"/>
      <c r="H58" s="11">
        <f t="shared" si="7"/>
        <v>0</v>
      </c>
      <c r="I58" s="11">
        <f t="shared" si="4"/>
        <v>0</v>
      </c>
      <c r="J58" s="11">
        <v>0</v>
      </c>
      <c r="K58" s="24">
        <f t="shared" si="6"/>
        <v>0</v>
      </c>
      <c r="L58" s="1" t="s">
        <v>15</v>
      </c>
    </row>
    <row r="59" spans="1:12" ht="17.399999999999999" hidden="1" x14ac:dyDescent="0.35">
      <c r="A59" s="8" t="str">
        <f t="shared" si="0"/>
        <v>2021</v>
      </c>
      <c r="B59" s="8"/>
      <c r="C59" s="33"/>
      <c r="D59" s="19" t="s">
        <v>120</v>
      </c>
      <c r="E59" s="15" t="s">
        <v>87</v>
      </c>
      <c r="F59" s="19">
        <v>2021</v>
      </c>
      <c r="G59" s="11"/>
      <c r="H59" s="11">
        <f t="shared" si="7"/>
        <v>0</v>
      </c>
      <c r="I59" s="11">
        <f t="shared" si="4"/>
        <v>0</v>
      </c>
      <c r="J59" s="11"/>
      <c r="K59" s="24">
        <f t="shared" si="6"/>
        <v>0</v>
      </c>
      <c r="L59" s="1" t="s">
        <v>41</v>
      </c>
    </row>
    <row r="60" spans="1:12" ht="17.399999999999999" x14ac:dyDescent="0.35">
      <c r="A60" s="8" t="str">
        <f t="shared" si="0"/>
        <v>2021مراجعه</v>
      </c>
      <c r="B60" s="8"/>
      <c r="C60" s="23" t="s">
        <v>121</v>
      </c>
      <c r="D60" s="19" t="s">
        <v>122</v>
      </c>
      <c r="E60" s="15" t="s">
        <v>123</v>
      </c>
      <c r="F60" s="19" t="s">
        <v>53</v>
      </c>
      <c r="G60" s="11">
        <f>11000*100/115</f>
        <v>9565.217391304348</v>
      </c>
      <c r="H60" s="11">
        <f t="shared" si="7"/>
        <v>1434.7826086956522</v>
      </c>
      <c r="I60" s="11">
        <f t="shared" si="4"/>
        <v>11000</v>
      </c>
      <c r="J60" s="11">
        <f>5500+5500</f>
        <v>11000</v>
      </c>
      <c r="K60" s="21">
        <f t="shared" si="6"/>
        <v>0</v>
      </c>
      <c r="L60" s="1" t="s">
        <v>13</v>
      </c>
    </row>
    <row r="61" spans="1:12" ht="17.399999999999999" x14ac:dyDescent="0.35">
      <c r="A61" s="8" t="str">
        <f t="shared" si="0"/>
        <v>2020مراجعه</v>
      </c>
      <c r="B61" s="8"/>
      <c r="C61" s="23" t="s">
        <v>121</v>
      </c>
      <c r="D61" s="19" t="s">
        <v>124</v>
      </c>
      <c r="E61" s="15" t="s">
        <v>125</v>
      </c>
      <c r="F61" s="19" t="s">
        <v>57</v>
      </c>
      <c r="G61" s="11">
        <v>15000</v>
      </c>
      <c r="H61" s="11">
        <f t="shared" si="7"/>
        <v>2250</v>
      </c>
      <c r="I61" s="11">
        <f t="shared" si="4"/>
        <v>17250</v>
      </c>
      <c r="J61" s="11">
        <f>10000+2250+2000</f>
        <v>14250</v>
      </c>
      <c r="K61" s="21">
        <f t="shared" si="6"/>
        <v>3000</v>
      </c>
      <c r="L61" s="1" t="s">
        <v>13</v>
      </c>
    </row>
    <row r="62" spans="1:12" ht="17.399999999999999" hidden="1" x14ac:dyDescent="0.35">
      <c r="A62" s="8" t="str">
        <f t="shared" si="0"/>
        <v>2021مراجعه</v>
      </c>
      <c r="B62" s="8"/>
      <c r="C62" s="34" t="s">
        <v>121</v>
      </c>
      <c r="D62" s="26" t="s">
        <v>124</v>
      </c>
      <c r="E62" s="15" t="s">
        <v>125</v>
      </c>
      <c r="F62" s="26" t="s">
        <v>53</v>
      </c>
      <c r="G62" s="27">
        <v>15000</v>
      </c>
      <c r="H62" s="27">
        <f t="shared" si="7"/>
        <v>2250</v>
      </c>
      <c r="I62" s="27">
        <f t="shared" si="4"/>
        <v>17250</v>
      </c>
      <c r="J62" s="27"/>
      <c r="K62" s="28">
        <f t="shared" si="6"/>
        <v>17250</v>
      </c>
      <c r="L62" s="35" t="s">
        <v>15</v>
      </c>
    </row>
    <row r="63" spans="1:12" ht="17.399999999999999" x14ac:dyDescent="0.35">
      <c r="A63" s="8" t="str">
        <f t="shared" si="0"/>
        <v>2021تقرير</v>
      </c>
      <c r="B63" s="8"/>
      <c r="C63" s="23" t="s">
        <v>126</v>
      </c>
      <c r="D63" s="19" t="s">
        <v>127</v>
      </c>
      <c r="E63" s="15" t="s">
        <v>128</v>
      </c>
      <c r="F63" s="19" t="s">
        <v>74</v>
      </c>
      <c r="G63" s="11">
        <v>8500</v>
      </c>
      <c r="H63" s="11">
        <f t="shared" si="7"/>
        <v>1275</v>
      </c>
      <c r="I63" s="11">
        <f t="shared" si="4"/>
        <v>9775</v>
      </c>
      <c r="J63" s="11">
        <v>9775</v>
      </c>
      <c r="K63" s="24">
        <f t="shared" si="6"/>
        <v>0</v>
      </c>
      <c r="L63" s="1" t="s">
        <v>13</v>
      </c>
    </row>
    <row r="64" spans="1:12" ht="17.399999999999999" x14ac:dyDescent="0.35">
      <c r="A64" s="8" t="str">
        <f t="shared" si="0"/>
        <v>2021تقرير</v>
      </c>
      <c r="B64" s="8"/>
      <c r="C64" s="23" t="s">
        <v>126</v>
      </c>
      <c r="D64" s="19" t="s">
        <v>129</v>
      </c>
      <c r="E64" s="15" t="s">
        <v>130</v>
      </c>
      <c r="F64" s="19" t="s">
        <v>74</v>
      </c>
      <c r="G64" s="11">
        <v>8000</v>
      </c>
      <c r="H64" s="11">
        <f t="shared" si="7"/>
        <v>1200</v>
      </c>
      <c r="I64" s="11">
        <f t="shared" si="4"/>
        <v>9200</v>
      </c>
      <c r="J64" s="11">
        <f>7350+1850</f>
        <v>9200</v>
      </c>
      <c r="K64" s="24">
        <f t="shared" si="6"/>
        <v>0</v>
      </c>
      <c r="L64" s="1" t="s">
        <v>13</v>
      </c>
    </row>
    <row r="65" spans="1:12" ht="17.399999999999999" x14ac:dyDescent="0.35">
      <c r="A65" s="8" t="str">
        <f t="shared" si="0"/>
        <v>2019مراجعه</v>
      </c>
      <c r="B65" s="8"/>
      <c r="C65" s="23" t="s">
        <v>131</v>
      </c>
      <c r="D65" s="19" t="s">
        <v>132</v>
      </c>
      <c r="E65" s="15" t="s">
        <v>133</v>
      </c>
      <c r="F65" s="19" t="s">
        <v>65</v>
      </c>
      <c r="G65" s="11">
        <v>15000</v>
      </c>
      <c r="H65" s="11">
        <f t="shared" si="7"/>
        <v>2250</v>
      </c>
      <c r="I65" s="11">
        <f t="shared" si="4"/>
        <v>17250</v>
      </c>
      <c r="J65" s="11">
        <f>8625+8625</f>
        <v>17250</v>
      </c>
      <c r="K65" s="21">
        <f t="shared" si="6"/>
        <v>0</v>
      </c>
      <c r="L65" s="1" t="s">
        <v>13</v>
      </c>
    </row>
    <row r="66" spans="1:12" ht="17.399999999999999" hidden="1" x14ac:dyDescent="0.35">
      <c r="A66" s="8" t="str">
        <f t="shared" ref="A66:A129" si="8">B66&amp;F66</f>
        <v>2016مراجعه</v>
      </c>
      <c r="B66" s="8"/>
      <c r="C66" s="22">
        <v>44564</v>
      </c>
      <c r="D66" s="19" t="s">
        <v>134</v>
      </c>
      <c r="E66" s="15" t="s">
        <v>135</v>
      </c>
      <c r="F66" s="19" t="s">
        <v>136</v>
      </c>
      <c r="G66" s="11"/>
      <c r="H66" s="11">
        <f t="shared" si="7"/>
        <v>0</v>
      </c>
      <c r="I66" s="11">
        <f t="shared" si="4"/>
        <v>0</v>
      </c>
      <c r="J66" s="11">
        <v>0</v>
      </c>
      <c r="K66" s="24">
        <f t="shared" si="6"/>
        <v>0</v>
      </c>
      <c r="L66" s="1" t="s">
        <v>15</v>
      </c>
    </row>
    <row r="67" spans="1:12" ht="17.399999999999999" hidden="1" x14ac:dyDescent="0.35">
      <c r="A67" s="8" t="str">
        <f t="shared" si="8"/>
        <v>2017مراجعه</v>
      </c>
      <c r="B67" s="8"/>
      <c r="C67" s="22">
        <v>44564</v>
      </c>
      <c r="D67" s="19" t="s">
        <v>134</v>
      </c>
      <c r="E67" s="15" t="s">
        <v>135</v>
      </c>
      <c r="F67" s="19" t="s">
        <v>137</v>
      </c>
      <c r="G67" s="11"/>
      <c r="H67" s="11">
        <f t="shared" si="7"/>
        <v>0</v>
      </c>
      <c r="I67" s="11">
        <f t="shared" si="4"/>
        <v>0</v>
      </c>
      <c r="J67" s="11">
        <v>0</v>
      </c>
      <c r="K67" s="24">
        <f t="shared" si="6"/>
        <v>0</v>
      </c>
      <c r="L67" s="1" t="s">
        <v>15</v>
      </c>
    </row>
    <row r="68" spans="1:12" ht="17.399999999999999" hidden="1" x14ac:dyDescent="0.35">
      <c r="A68" s="8" t="str">
        <f t="shared" si="8"/>
        <v>2018مراجعه</v>
      </c>
      <c r="B68" s="8"/>
      <c r="C68" s="22">
        <v>44564</v>
      </c>
      <c r="D68" s="19" t="s">
        <v>134</v>
      </c>
      <c r="E68" s="15" t="s">
        <v>135</v>
      </c>
      <c r="F68" s="19" t="s">
        <v>138</v>
      </c>
      <c r="G68" s="11"/>
      <c r="H68" s="11">
        <f t="shared" si="7"/>
        <v>0</v>
      </c>
      <c r="I68" s="11">
        <f t="shared" si="4"/>
        <v>0</v>
      </c>
      <c r="J68" s="11">
        <v>0</v>
      </c>
      <c r="K68" s="24">
        <f t="shared" si="6"/>
        <v>0</v>
      </c>
      <c r="L68" s="1" t="s">
        <v>15</v>
      </c>
    </row>
    <row r="69" spans="1:12" ht="17.399999999999999" hidden="1" x14ac:dyDescent="0.35">
      <c r="A69" s="8" t="str">
        <f t="shared" si="8"/>
        <v>2019مراجعه</v>
      </c>
      <c r="B69" s="8"/>
      <c r="C69" s="22">
        <v>44564</v>
      </c>
      <c r="D69" s="19" t="s">
        <v>134</v>
      </c>
      <c r="E69" s="15" t="s">
        <v>135</v>
      </c>
      <c r="F69" s="19" t="s">
        <v>65</v>
      </c>
      <c r="G69" s="11"/>
      <c r="H69" s="11">
        <f t="shared" si="7"/>
        <v>0</v>
      </c>
      <c r="I69" s="11">
        <f t="shared" ref="I69:I132" si="9">H69+G69</f>
        <v>0</v>
      </c>
      <c r="J69" s="11">
        <v>0</v>
      </c>
      <c r="K69" s="24">
        <f t="shared" si="6"/>
        <v>0</v>
      </c>
      <c r="L69" s="1" t="s">
        <v>15</v>
      </c>
    </row>
    <row r="70" spans="1:12" ht="17.399999999999999" x14ac:dyDescent="0.35">
      <c r="A70" s="8" t="str">
        <f t="shared" si="8"/>
        <v>تقرير 2021</v>
      </c>
      <c r="B70" s="8"/>
      <c r="C70" s="23" t="s">
        <v>139</v>
      </c>
      <c r="D70" s="19" t="s">
        <v>134</v>
      </c>
      <c r="E70" s="15" t="s">
        <v>140</v>
      </c>
      <c r="F70" s="19" t="s">
        <v>141</v>
      </c>
      <c r="G70" s="11">
        <f>8000*100/115</f>
        <v>6956.521739130435</v>
      </c>
      <c r="H70" s="11">
        <f t="shared" si="7"/>
        <v>1043.4782608695652</v>
      </c>
      <c r="I70" s="11">
        <f t="shared" si="9"/>
        <v>8000</v>
      </c>
      <c r="J70" s="11">
        <v>6400</v>
      </c>
      <c r="K70" s="21">
        <f t="shared" si="6"/>
        <v>1600</v>
      </c>
      <c r="L70" s="1" t="s">
        <v>13</v>
      </c>
    </row>
    <row r="71" spans="1:12" ht="17.399999999999999" x14ac:dyDescent="0.35">
      <c r="A71" s="8" t="str">
        <f t="shared" si="8"/>
        <v>2021مراجعه</v>
      </c>
      <c r="B71" s="8"/>
      <c r="C71" s="22">
        <v>44715</v>
      </c>
      <c r="D71" s="19" t="s">
        <v>142</v>
      </c>
      <c r="E71" s="15" t="s">
        <v>143</v>
      </c>
      <c r="F71" s="19" t="s">
        <v>53</v>
      </c>
      <c r="G71" s="11">
        <v>10000</v>
      </c>
      <c r="H71" s="11">
        <f t="shared" si="7"/>
        <v>1500</v>
      </c>
      <c r="I71" s="11">
        <f t="shared" si="9"/>
        <v>11500</v>
      </c>
      <c r="J71" s="11">
        <f>5750+5750</f>
        <v>11500</v>
      </c>
      <c r="K71" s="21">
        <f t="shared" si="6"/>
        <v>0</v>
      </c>
      <c r="L71" s="1" t="s">
        <v>13</v>
      </c>
    </row>
    <row r="72" spans="1:12" ht="17.399999999999999" x14ac:dyDescent="0.35">
      <c r="A72" s="8" t="str">
        <f t="shared" si="8"/>
        <v>2021مراجعه</v>
      </c>
      <c r="B72" s="8"/>
      <c r="C72" s="22">
        <v>44837</v>
      </c>
      <c r="D72" s="19" t="s">
        <v>144</v>
      </c>
      <c r="E72" s="15" t="s">
        <v>145</v>
      </c>
      <c r="F72" s="19" t="s">
        <v>53</v>
      </c>
      <c r="G72" s="11">
        <v>11000</v>
      </c>
      <c r="H72" s="11">
        <f t="shared" si="7"/>
        <v>1650</v>
      </c>
      <c r="I72" s="11">
        <f t="shared" si="9"/>
        <v>12650</v>
      </c>
      <c r="J72" s="11">
        <f>5000+5000+2650</f>
        <v>12650</v>
      </c>
      <c r="K72" s="21">
        <f t="shared" si="6"/>
        <v>0</v>
      </c>
      <c r="L72" s="1" t="s">
        <v>13</v>
      </c>
    </row>
    <row r="73" spans="1:12" ht="17.399999999999999" x14ac:dyDescent="0.35">
      <c r="A73" s="8" t="str">
        <f t="shared" si="8"/>
        <v>40301709032021</v>
      </c>
      <c r="B73" s="8">
        <v>4030170903</v>
      </c>
      <c r="C73" s="23" t="s">
        <v>146</v>
      </c>
      <c r="D73" s="19" t="s">
        <v>147</v>
      </c>
      <c r="E73" s="15" t="s">
        <v>148</v>
      </c>
      <c r="F73" s="19">
        <v>2021</v>
      </c>
      <c r="G73" s="11">
        <v>15000</v>
      </c>
      <c r="H73" s="11">
        <f t="shared" si="7"/>
        <v>2250</v>
      </c>
      <c r="I73" s="11">
        <f t="shared" si="9"/>
        <v>17250</v>
      </c>
      <c r="J73" s="11">
        <f>8625+8625</f>
        <v>17250</v>
      </c>
      <c r="K73" s="21">
        <f t="shared" si="6"/>
        <v>0</v>
      </c>
      <c r="L73" s="1" t="s">
        <v>149</v>
      </c>
    </row>
    <row r="74" spans="1:12" ht="17.399999999999999" x14ac:dyDescent="0.35">
      <c r="A74" s="8" t="str">
        <f t="shared" si="8"/>
        <v>مراجعه2021</v>
      </c>
      <c r="B74" s="8"/>
      <c r="C74" s="23" t="s">
        <v>150</v>
      </c>
      <c r="D74" s="19" t="s">
        <v>151</v>
      </c>
      <c r="E74" s="15" t="s">
        <v>152</v>
      </c>
      <c r="F74" s="19" t="s">
        <v>153</v>
      </c>
      <c r="G74" s="11">
        <v>9130</v>
      </c>
      <c r="H74" s="11">
        <f t="shared" si="7"/>
        <v>1369.5</v>
      </c>
      <c r="I74" s="11">
        <f t="shared" si="9"/>
        <v>10499.5</v>
      </c>
      <c r="J74" s="11">
        <v>10500</v>
      </c>
      <c r="K74" s="21">
        <f t="shared" si="6"/>
        <v>-0.5</v>
      </c>
      <c r="L74" s="1" t="s">
        <v>13</v>
      </c>
    </row>
    <row r="75" spans="1:12" ht="17.399999999999999" hidden="1" x14ac:dyDescent="0.35">
      <c r="A75" s="8" t="str">
        <f t="shared" si="8"/>
        <v>مراجعة 2021</v>
      </c>
      <c r="B75" s="8"/>
      <c r="C75" s="23" t="s">
        <v>150</v>
      </c>
      <c r="D75" s="19" t="s">
        <v>154</v>
      </c>
      <c r="E75" s="15" t="s">
        <v>155</v>
      </c>
      <c r="F75" s="19" t="s">
        <v>156</v>
      </c>
      <c r="G75" s="11"/>
      <c r="H75" s="11">
        <f t="shared" si="7"/>
        <v>0</v>
      </c>
      <c r="I75" s="11">
        <f t="shared" si="9"/>
        <v>0</v>
      </c>
      <c r="J75" s="11">
        <v>0</v>
      </c>
      <c r="K75" s="24">
        <f t="shared" si="6"/>
        <v>0</v>
      </c>
      <c r="L75" s="1" t="s">
        <v>15</v>
      </c>
    </row>
    <row r="76" spans="1:12" ht="17.399999999999999" x14ac:dyDescent="0.35">
      <c r="A76" s="8" t="str">
        <f t="shared" si="8"/>
        <v>مراجعة 2020</v>
      </c>
      <c r="B76" s="8"/>
      <c r="C76" s="23" t="s">
        <v>157</v>
      </c>
      <c r="D76" s="19" t="s">
        <v>158</v>
      </c>
      <c r="E76" s="15" t="s">
        <v>159</v>
      </c>
      <c r="F76" s="19" t="s">
        <v>160</v>
      </c>
      <c r="G76" s="11">
        <v>15000</v>
      </c>
      <c r="H76" s="11">
        <f t="shared" si="7"/>
        <v>2250</v>
      </c>
      <c r="I76" s="11">
        <f t="shared" si="9"/>
        <v>17250</v>
      </c>
      <c r="J76" s="11">
        <f>8625+8625</f>
        <v>17250</v>
      </c>
      <c r="K76" s="21">
        <f t="shared" si="6"/>
        <v>0</v>
      </c>
      <c r="L76" s="1" t="s">
        <v>13</v>
      </c>
    </row>
    <row r="77" spans="1:12" ht="17.399999999999999" hidden="1" x14ac:dyDescent="0.35">
      <c r="A77" s="8" t="str">
        <f t="shared" si="8"/>
        <v>مراجعة 2021</v>
      </c>
      <c r="B77" s="8"/>
      <c r="C77" s="23" t="s">
        <v>157</v>
      </c>
      <c r="D77" s="19" t="s">
        <v>161</v>
      </c>
      <c r="E77" s="15" t="s">
        <v>162</v>
      </c>
      <c r="F77" s="19" t="s">
        <v>156</v>
      </c>
      <c r="G77" s="11"/>
      <c r="H77" s="11">
        <f t="shared" si="7"/>
        <v>0</v>
      </c>
      <c r="I77" s="11">
        <f t="shared" si="9"/>
        <v>0</v>
      </c>
      <c r="J77" s="11"/>
      <c r="K77" s="24">
        <f t="shared" si="6"/>
        <v>0</v>
      </c>
      <c r="L77" s="1" t="s">
        <v>15</v>
      </c>
    </row>
    <row r="78" spans="1:12" ht="17.399999999999999" x14ac:dyDescent="0.35">
      <c r="A78" s="8" t="str">
        <f t="shared" si="8"/>
        <v>مراجعة 2022</v>
      </c>
      <c r="B78" s="8"/>
      <c r="C78" s="23" t="s">
        <v>163</v>
      </c>
      <c r="D78" s="19" t="s">
        <v>164</v>
      </c>
      <c r="E78" s="15" t="s">
        <v>165</v>
      </c>
      <c r="F78" s="19" t="s">
        <v>166</v>
      </c>
      <c r="G78" s="11">
        <v>7000</v>
      </c>
      <c r="H78" s="11">
        <f t="shared" si="7"/>
        <v>1050</v>
      </c>
      <c r="I78" s="11">
        <f t="shared" si="9"/>
        <v>8050</v>
      </c>
      <c r="J78" s="11">
        <f>4025+4025</f>
        <v>8050</v>
      </c>
      <c r="K78" s="21">
        <f t="shared" si="6"/>
        <v>0</v>
      </c>
      <c r="L78" s="1" t="s">
        <v>13</v>
      </c>
    </row>
    <row r="79" spans="1:12" ht="17.399999999999999" x14ac:dyDescent="0.35">
      <c r="A79" s="8" t="str">
        <f t="shared" si="8"/>
        <v>تقرير 2021</v>
      </c>
      <c r="B79" s="8"/>
      <c r="C79" s="23" t="s">
        <v>139</v>
      </c>
      <c r="D79" s="19" t="s">
        <v>167</v>
      </c>
      <c r="E79" s="15" t="s">
        <v>168</v>
      </c>
      <c r="F79" s="19" t="s">
        <v>141</v>
      </c>
      <c r="G79" s="11">
        <f>8000*100/115</f>
        <v>6956.521739130435</v>
      </c>
      <c r="H79" s="11">
        <f t="shared" si="7"/>
        <v>1043.4782608695652</v>
      </c>
      <c r="I79" s="11">
        <f t="shared" si="9"/>
        <v>8000</v>
      </c>
      <c r="J79" s="11">
        <v>6400</v>
      </c>
      <c r="K79" s="21">
        <f t="shared" si="6"/>
        <v>1600</v>
      </c>
      <c r="L79" s="1" t="s">
        <v>13</v>
      </c>
    </row>
    <row r="80" spans="1:12" ht="17.399999999999999" x14ac:dyDescent="0.35">
      <c r="A80" s="8" t="str">
        <f t="shared" si="8"/>
        <v>2021</v>
      </c>
      <c r="B80" s="8"/>
      <c r="C80" s="36">
        <v>44656</v>
      </c>
      <c r="D80" s="19" t="s">
        <v>169</v>
      </c>
      <c r="E80" s="15" t="s">
        <v>170</v>
      </c>
      <c r="F80" s="19">
        <v>2021</v>
      </c>
      <c r="G80" s="11">
        <v>15000</v>
      </c>
      <c r="H80" s="11">
        <f t="shared" si="7"/>
        <v>2250</v>
      </c>
      <c r="I80" s="11">
        <f t="shared" si="9"/>
        <v>17250</v>
      </c>
      <c r="J80" s="11">
        <f>8625+8625</f>
        <v>17250</v>
      </c>
      <c r="K80" s="21">
        <f t="shared" si="6"/>
        <v>0</v>
      </c>
      <c r="L80" s="1" t="s">
        <v>171</v>
      </c>
    </row>
    <row r="81" spans="1:12" ht="17.399999999999999" x14ac:dyDescent="0.35">
      <c r="A81" s="8" t="str">
        <f t="shared" si="8"/>
        <v>مراجهة 2021</v>
      </c>
      <c r="B81" s="8"/>
      <c r="C81" s="36">
        <v>44656</v>
      </c>
      <c r="D81" s="19" t="s">
        <v>172</v>
      </c>
      <c r="E81" s="15" t="s">
        <v>173</v>
      </c>
      <c r="F81" s="19" t="s">
        <v>174</v>
      </c>
      <c r="G81" s="11">
        <v>8000</v>
      </c>
      <c r="H81" s="11">
        <f t="shared" si="7"/>
        <v>1200</v>
      </c>
      <c r="I81" s="11">
        <f t="shared" si="9"/>
        <v>9200</v>
      </c>
      <c r="J81" s="11">
        <f>4600+4600</f>
        <v>9200</v>
      </c>
      <c r="K81" s="21">
        <f t="shared" si="6"/>
        <v>0</v>
      </c>
      <c r="L81" s="1" t="s">
        <v>13</v>
      </c>
    </row>
    <row r="82" spans="1:12" ht="17.399999999999999" x14ac:dyDescent="0.35">
      <c r="A82" s="8" t="str">
        <f t="shared" si="8"/>
        <v>مراجعة 2021</v>
      </c>
      <c r="B82" s="8"/>
      <c r="C82" s="36">
        <v>44656</v>
      </c>
      <c r="D82" s="19" t="s">
        <v>175</v>
      </c>
      <c r="E82" s="15" t="s">
        <v>176</v>
      </c>
      <c r="F82" s="19" t="s">
        <v>156</v>
      </c>
      <c r="G82" s="11">
        <v>12500</v>
      </c>
      <c r="H82" s="11">
        <f t="shared" si="7"/>
        <v>1875</v>
      </c>
      <c r="I82" s="11">
        <f t="shared" si="9"/>
        <v>14375</v>
      </c>
      <c r="J82" s="11">
        <f>6875+5000+2500</f>
        <v>14375</v>
      </c>
      <c r="K82" s="21">
        <f t="shared" si="6"/>
        <v>0</v>
      </c>
      <c r="L82" s="1" t="s">
        <v>13</v>
      </c>
    </row>
    <row r="83" spans="1:12" ht="17.399999999999999" hidden="1" x14ac:dyDescent="0.35">
      <c r="A83" s="8" t="str">
        <f t="shared" si="8"/>
        <v>مراجعة 2021</v>
      </c>
      <c r="B83" s="8"/>
      <c r="C83" s="36">
        <v>44661</v>
      </c>
      <c r="D83" s="19" t="s">
        <v>177</v>
      </c>
      <c r="E83" s="15" t="s">
        <v>178</v>
      </c>
      <c r="F83" s="19" t="s">
        <v>156</v>
      </c>
      <c r="G83" s="11"/>
      <c r="H83" s="11">
        <f t="shared" si="7"/>
        <v>0</v>
      </c>
      <c r="I83" s="11">
        <f t="shared" si="9"/>
        <v>0</v>
      </c>
      <c r="J83" s="11"/>
      <c r="K83" s="24">
        <f t="shared" ref="K83:K146" si="10">I83-J83</f>
        <v>0</v>
      </c>
      <c r="L83" s="1" t="s">
        <v>15</v>
      </c>
    </row>
    <row r="84" spans="1:12" ht="17.399999999999999" x14ac:dyDescent="0.35">
      <c r="A84" s="8" t="str">
        <f t="shared" si="8"/>
        <v>مراجعة 2018</v>
      </c>
      <c r="B84" s="8"/>
      <c r="C84" s="36">
        <v>44661</v>
      </c>
      <c r="D84" s="19" t="s">
        <v>179</v>
      </c>
      <c r="E84" s="15" t="s">
        <v>180</v>
      </c>
      <c r="F84" s="19" t="s">
        <v>181</v>
      </c>
      <c r="G84" s="11">
        <v>10000</v>
      </c>
      <c r="H84" s="11">
        <f t="shared" si="7"/>
        <v>1500</v>
      </c>
      <c r="I84" s="11">
        <f t="shared" si="9"/>
        <v>11500</v>
      </c>
      <c r="J84" s="11">
        <v>11500</v>
      </c>
      <c r="K84" s="21">
        <f t="shared" si="10"/>
        <v>0</v>
      </c>
      <c r="L84" s="1" t="s">
        <v>13</v>
      </c>
    </row>
    <row r="85" spans="1:12" ht="17.399999999999999" x14ac:dyDescent="0.35">
      <c r="A85" s="8" t="str">
        <f t="shared" si="8"/>
        <v>مراجعة 2020</v>
      </c>
      <c r="B85" s="8"/>
      <c r="C85" s="36">
        <v>44661</v>
      </c>
      <c r="D85" s="19" t="s">
        <v>182</v>
      </c>
      <c r="E85" s="15" t="s">
        <v>183</v>
      </c>
      <c r="F85" s="19" t="s">
        <v>160</v>
      </c>
      <c r="G85" s="11">
        <v>10000</v>
      </c>
      <c r="H85" s="11">
        <f t="shared" si="7"/>
        <v>1500</v>
      </c>
      <c r="I85" s="11">
        <f t="shared" si="9"/>
        <v>11500</v>
      </c>
      <c r="J85" s="11">
        <f>5750+5750</f>
        <v>11500</v>
      </c>
      <c r="K85" s="24">
        <f t="shared" si="10"/>
        <v>0</v>
      </c>
      <c r="L85" s="1" t="s">
        <v>13</v>
      </c>
    </row>
    <row r="86" spans="1:12" ht="17.399999999999999" x14ac:dyDescent="0.35">
      <c r="A86" s="8" t="str">
        <f t="shared" si="8"/>
        <v>2019</v>
      </c>
      <c r="B86" s="8"/>
      <c r="C86" s="36">
        <v>44661</v>
      </c>
      <c r="D86" s="19" t="s">
        <v>184</v>
      </c>
      <c r="E86" s="32" t="s">
        <v>180</v>
      </c>
      <c r="F86" s="19">
        <v>2019</v>
      </c>
      <c r="G86" s="11">
        <v>10000</v>
      </c>
      <c r="H86" s="11">
        <f t="shared" si="7"/>
        <v>1500</v>
      </c>
      <c r="I86" s="11">
        <f t="shared" si="9"/>
        <v>11500</v>
      </c>
      <c r="J86" s="11">
        <v>11500</v>
      </c>
      <c r="K86" s="21">
        <f t="shared" si="10"/>
        <v>0</v>
      </c>
      <c r="L86" s="1" t="s">
        <v>13</v>
      </c>
    </row>
    <row r="87" spans="1:12" ht="17.399999999999999" x14ac:dyDescent="0.35">
      <c r="A87" s="8" t="str">
        <f t="shared" si="8"/>
        <v>2020</v>
      </c>
      <c r="B87" s="8"/>
      <c r="C87" s="36">
        <v>44661</v>
      </c>
      <c r="D87" s="19" t="s">
        <v>185</v>
      </c>
      <c r="E87" s="32" t="s">
        <v>180</v>
      </c>
      <c r="F87" s="19">
        <v>2020</v>
      </c>
      <c r="G87" s="37">
        <v>10000</v>
      </c>
      <c r="H87" s="11">
        <f t="shared" si="7"/>
        <v>1500</v>
      </c>
      <c r="I87" s="11">
        <f t="shared" si="9"/>
        <v>11500</v>
      </c>
      <c r="J87" s="11">
        <v>11500</v>
      </c>
      <c r="K87" s="21">
        <f t="shared" si="10"/>
        <v>0</v>
      </c>
      <c r="L87" s="1" t="s">
        <v>186</v>
      </c>
    </row>
    <row r="88" spans="1:12" ht="17.399999999999999" x14ac:dyDescent="0.35">
      <c r="A88" s="8" t="str">
        <f t="shared" si="8"/>
        <v>10103052562021</v>
      </c>
      <c r="B88" s="8">
        <v>1010305256</v>
      </c>
      <c r="C88" s="36">
        <v>44661</v>
      </c>
      <c r="D88" s="19" t="s">
        <v>187</v>
      </c>
      <c r="E88" s="15" t="s">
        <v>180</v>
      </c>
      <c r="F88" s="19">
        <v>2021</v>
      </c>
      <c r="G88" s="11">
        <v>10000</v>
      </c>
      <c r="H88" s="11">
        <f t="shared" si="7"/>
        <v>1500</v>
      </c>
      <c r="I88" s="11">
        <f t="shared" si="9"/>
        <v>11500</v>
      </c>
      <c r="J88" s="11">
        <v>11500</v>
      </c>
      <c r="K88" s="21">
        <f t="shared" si="10"/>
        <v>0</v>
      </c>
      <c r="L88" s="1" t="s">
        <v>37</v>
      </c>
    </row>
    <row r="89" spans="1:12" ht="17.399999999999999" x14ac:dyDescent="0.35">
      <c r="A89" s="8" t="str">
        <f t="shared" si="8"/>
        <v>2022</v>
      </c>
      <c r="B89" s="8"/>
      <c r="C89" s="36">
        <v>44664</v>
      </c>
      <c r="D89" s="19" t="s">
        <v>188</v>
      </c>
      <c r="E89" s="32" t="s">
        <v>189</v>
      </c>
      <c r="F89" s="19">
        <v>2022</v>
      </c>
      <c r="G89" s="11">
        <v>14000</v>
      </c>
      <c r="H89" s="11">
        <f t="shared" si="7"/>
        <v>2100</v>
      </c>
      <c r="I89" s="11">
        <f t="shared" si="9"/>
        <v>16100</v>
      </c>
      <c r="J89" s="11">
        <f>8050+8050</f>
        <v>16100</v>
      </c>
      <c r="K89" s="24">
        <f t="shared" si="10"/>
        <v>0</v>
      </c>
      <c r="L89" s="1" t="s">
        <v>13</v>
      </c>
    </row>
    <row r="90" spans="1:12" ht="17.399999999999999" x14ac:dyDescent="0.35">
      <c r="A90" s="8" t="str">
        <f t="shared" si="8"/>
        <v>تقرير 2021</v>
      </c>
      <c r="B90" s="8"/>
      <c r="C90" s="36">
        <v>44661</v>
      </c>
      <c r="D90" s="19" t="s">
        <v>190</v>
      </c>
      <c r="E90" s="15" t="s">
        <v>191</v>
      </c>
      <c r="F90" s="19" t="s">
        <v>141</v>
      </c>
      <c r="G90" s="11">
        <f>8000*100/115</f>
        <v>6956.521739130435</v>
      </c>
      <c r="H90" s="11">
        <f t="shared" ref="H90:H153" si="11">G90*0.15</f>
        <v>1043.4782608695652</v>
      </c>
      <c r="I90" s="11">
        <f t="shared" si="9"/>
        <v>8000</v>
      </c>
      <c r="J90" s="11">
        <v>6400</v>
      </c>
      <c r="K90" s="21">
        <f t="shared" si="10"/>
        <v>1600</v>
      </c>
      <c r="L90" s="1" t="s">
        <v>13</v>
      </c>
    </row>
    <row r="91" spans="1:12" ht="17.399999999999999" x14ac:dyDescent="0.35">
      <c r="A91" s="8" t="str">
        <f t="shared" si="8"/>
        <v>مراجعة 2021</v>
      </c>
      <c r="B91" s="8"/>
      <c r="C91" s="36">
        <v>44669</v>
      </c>
      <c r="D91" s="19" t="s">
        <v>192</v>
      </c>
      <c r="E91" s="15" t="s">
        <v>193</v>
      </c>
      <c r="F91" s="19" t="s">
        <v>156</v>
      </c>
      <c r="G91" s="30">
        <v>12000</v>
      </c>
      <c r="H91" s="20">
        <f t="shared" si="11"/>
        <v>1800</v>
      </c>
      <c r="I91" s="20">
        <f t="shared" si="9"/>
        <v>13800</v>
      </c>
      <c r="J91" s="11">
        <v>13800</v>
      </c>
      <c r="K91" s="21">
        <f t="shared" si="10"/>
        <v>0</v>
      </c>
      <c r="L91" s="1" t="s">
        <v>13</v>
      </c>
    </row>
    <row r="92" spans="1:12" ht="17.399999999999999" x14ac:dyDescent="0.35">
      <c r="A92" s="8" t="str">
        <f t="shared" si="8"/>
        <v>2022</v>
      </c>
      <c r="B92" s="8"/>
      <c r="C92" s="36">
        <v>44672</v>
      </c>
      <c r="D92" s="19" t="s">
        <v>194</v>
      </c>
      <c r="E92" s="15" t="s">
        <v>51</v>
      </c>
      <c r="F92" s="19">
        <v>2022</v>
      </c>
      <c r="G92" s="11">
        <v>18000</v>
      </c>
      <c r="H92" s="20">
        <f t="shared" si="11"/>
        <v>2700</v>
      </c>
      <c r="I92" s="11">
        <f t="shared" si="9"/>
        <v>20700</v>
      </c>
      <c r="J92" s="11">
        <f>5175+5175+10350</f>
        <v>20700</v>
      </c>
      <c r="K92" s="24">
        <f t="shared" si="10"/>
        <v>0</v>
      </c>
      <c r="L92" s="17" t="s">
        <v>22</v>
      </c>
    </row>
    <row r="93" spans="1:12" ht="17.399999999999999" x14ac:dyDescent="0.35">
      <c r="A93" s="8" t="str">
        <f t="shared" si="8"/>
        <v>مراجعة 2021</v>
      </c>
      <c r="B93" s="8"/>
      <c r="C93" s="36">
        <v>44672</v>
      </c>
      <c r="D93" s="19" t="s">
        <v>195</v>
      </c>
      <c r="E93" s="15" t="s">
        <v>196</v>
      </c>
      <c r="F93" s="19" t="s">
        <v>156</v>
      </c>
      <c r="G93" s="11">
        <v>12500</v>
      </c>
      <c r="H93" s="20">
        <f t="shared" si="11"/>
        <v>1875</v>
      </c>
      <c r="I93" s="20">
        <f t="shared" si="9"/>
        <v>14375</v>
      </c>
      <c r="J93" s="11">
        <f>7375+7000</f>
        <v>14375</v>
      </c>
      <c r="K93" s="21">
        <f t="shared" si="10"/>
        <v>0</v>
      </c>
      <c r="L93" s="1" t="s">
        <v>13</v>
      </c>
    </row>
    <row r="94" spans="1:12" ht="17.399999999999999" x14ac:dyDescent="0.35">
      <c r="A94" s="8" t="str">
        <f t="shared" si="8"/>
        <v>مراجعة 2021</v>
      </c>
      <c r="B94" s="8"/>
      <c r="C94" s="36">
        <v>44672</v>
      </c>
      <c r="D94" s="19" t="s">
        <v>197</v>
      </c>
      <c r="E94" s="15" t="s">
        <v>31</v>
      </c>
      <c r="F94" s="19" t="s">
        <v>156</v>
      </c>
      <c r="G94" s="30">
        <v>11000</v>
      </c>
      <c r="H94" s="20">
        <f t="shared" si="11"/>
        <v>1650</v>
      </c>
      <c r="I94" s="20">
        <f t="shared" si="9"/>
        <v>12650</v>
      </c>
      <c r="J94" s="11">
        <f>6325+6325</f>
        <v>12650</v>
      </c>
      <c r="K94" s="21">
        <f t="shared" si="10"/>
        <v>0</v>
      </c>
      <c r="L94" s="1" t="s">
        <v>13</v>
      </c>
    </row>
    <row r="95" spans="1:12" ht="17.399999999999999" x14ac:dyDescent="0.35">
      <c r="A95" s="8" t="str">
        <f t="shared" si="8"/>
        <v>مراجعة 2021</v>
      </c>
      <c r="B95" s="8"/>
      <c r="C95" s="36">
        <v>44679</v>
      </c>
      <c r="D95" s="19" t="s">
        <v>198</v>
      </c>
      <c r="E95" s="15" t="s">
        <v>199</v>
      </c>
      <c r="F95" s="19" t="s">
        <v>156</v>
      </c>
      <c r="G95" s="11">
        <v>6500</v>
      </c>
      <c r="H95" s="20">
        <f t="shared" si="11"/>
        <v>975</v>
      </c>
      <c r="I95" s="20">
        <f t="shared" si="9"/>
        <v>7475</v>
      </c>
      <c r="J95" s="11">
        <f>3700+3775</f>
        <v>7475</v>
      </c>
      <c r="K95" s="21">
        <f t="shared" si="10"/>
        <v>0</v>
      </c>
      <c r="L95" s="1" t="s">
        <v>13</v>
      </c>
    </row>
    <row r="96" spans="1:12" ht="17.399999999999999" x14ac:dyDescent="0.35">
      <c r="A96" s="8" t="str">
        <f t="shared" si="8"/>
        <v>مراجعة 2021</v>
      </c>
      <c r="B96" s="8"/>
      <c r="C96" s="36">
        <v>44690</v>
      </c>
      <c r="D96" s="19" t="s">
        <v>200</v>
      </c>
      <c r="E96" s="15" t="s">
        <v>201</v>
      </c>
      <c r="F96" s="19" t="s">
        <v>156</v>
      </c>
      <c r="G96" s="11">
        <v>10000</v>
      </c>
      <c r="H96" s="20">
        <f t="shared" si="11"/>
        <v>1500</v>
      </c>
      <c r="I96" s="20">
        <f t="shared" si="9"/>
        <v>11500</v>
      </c>
      <c r="J96" s="11">
        <f>5750+5750</f>
        <v>11500</v>
      </c>
      <c r="K96" s="21">
        <f t="shared" si="10"/>
        <v>0</v>
      </c>
      <c r="L96" s="1" t="s">
        <v>13</v>
      </c>
    </row>
    <row r="97" spans="1:12" ht="17.399999999999999" x14ac:dyDescent="0.35">
      <c r="A97" s="8" t="str">
        <f t="shared" si="8"/>
        <v>2020</v>
      </c>
      <c r="B97" s="8"/>
      <c r="C97" s="36">
        <v>44693</v>
      </c>
      <c r="D97" s="19" t="s">
        <v>202</v>
      </c>
      <c r="E97" s="15" t="s">
        <v>203</v>
      </c>
      <c r="F97" s="19">
        <v>2020</v>
      </c>
      <c r="G97" s="11">
        <v>35000</v>
      </c>
      <c r="H97" s="20">
        <f t="shared" si="11"/>
        <v>5250</v>
      </c>
      <c r="I97" s="20">
        <f t="shared" si="9"/>
        <v>40250</v>
      </c>
      <c r="J97" s="11">
        <f>17500+22750</f>
        <v>40250</v>
      </c>
      <c r="K97" s="21">
        <f t="shared" si="10"/>
        <v>0</v>
      </c>
      <c r="L97" s="1" t="s">
        <v>204</v>
      </c>
    </row>
    <row r="98" spans="1:12" ht="17.399999999999999" x14ac:dyDescent="0.35">
      <c r="A98" s="8" t="str">
        <f t="shared" si="8"/>
        <v>10100205022021</v>
      </c>
      <c r="B98" s="8">
        <v>1010020502</v>
      </c>
      <c r="C98" s="36">
        <v>44693</v>
      </c>
      <c r="D98" s="19" t="s">
        <v>202</v>
      </c>
      <c r="E98" s="15" t="s">
        <v>203</v>
      </c>
      <c r="F98" s="19">
        <v>2021</v>
      </c>
      <c r="G98" s="11">
        <v>35000</v>
      </c>
      <c r="H98" s="20">
        <f t="shared" si="11"/>
        <v>5250</v>
      </c>
      <c r="I98" s="20">
        <f t="shared" si="9"/>
        <v>40250</v>
      </c>
      <c r="J98" s="11">
        <f>17500+22750</f>
        <v>40250</v>
      </c>
      <c r="K98" s="21">
        <f t="shared" si="10"/>
        <v>0</v>
      </c>
      <c r="L98" s="1" t="s">
        <v>205</v>
      </c>
    </row>
    <row r="99" spans="1:12" ht="17.399999999999999" x14ac:dyDescent="0.35">
      <c r="A99" s="8" t="str">
        <f t="shared" si="8"/>
        <v>مراجعة 2021</v>
      </c>
      <c r="B99" s="8"/>
      <c r="C99" s="36">
        <v>44699</v>
      </c>
      <c r="D99" s="19" t="s">
        <v>206</v>
      </c>
      <c r="E99" s="15" t="s">
        <v>76</v>
      </c>
      <c r="F99" s="19" t="s">
        <v>156</v>
      </c>
      <c r="G99" s="11">
        <v>10000</v>
      </c>
      <c r="H99" s="20">
        <f t="shared" si="11"/>
        <v>1500</v>
      </c>
      <c r="I99" s="20">
        <f t="shared" si="9"/>
        <v>11500</v>
      </c>
      <c r="J99" s="11">
        <f>5750+5750</f>
        <v>11500</v>
      </c>
      <c r="K99" s="21">
        <f t="shared" si="10"/>
        <v>0</v>
      </c>
      <c r="L99" s="1" t="s">
        <v>13</v>
      </c>
    </row>
    <row r="100" spans="1:12" ht="17.399999999999999" x14ac:dyDescent="0.35">
      <c r="A100" s="8" t="str">
        <f t="shared" si="8"/>
        <v>مراجعة 2021</v>
      </c>
      <c r="B100" s="8"/>
      <c r="C100" s="36">
        <v>44699</v>
      </c>
      <c r="D100" s="19" t="s">
        <v>207</v>
      </c>
      <c r="E100" s="15" t="s">
        <v>208</v>
      </c>
      <c r="F100" s="19" t="s">
        <v>156</v>
      </c>
      <c r="G100" s="11">
        <v>17000</v>
      </c>
      <c r="H100" s="20">
        <f t="shared" si="11"/>
        <v>2550</v>
      </c>
      <c r="I100" s="20">
        <f t="shared" si="9"/>
        <v>19550</v>
      </c>
      <c r="J100" s="11">
        <f>9775+9775</f>
        <v>19550</v>
      </c>
      <c r="K100" s="21">
        <f t="shared" si="10"/>
        <v>0</v>
      </c>
      <c r="L100" s="1" t="s">
        <v>13</v>
      </c>
    </row>
    <row r="101" spans="1:12" ht="17.399999999999999" x14ac:dyDescent="0.35">
      <c r="A101" s="8" t="str">
        <f t="shared" si="8"/>
        <v>مراجعة 2021</v>
      </c>
      <c r="B101" s="8"/>
      <c r="C101" s="36">
        <v>44711</v>
      </c>
      <c r="D101" s="19" t="s">
        <v>209</v>
      </c>
      <c r="E101" s="15" t="s">
        <v>210</v>
      </c>
      <c r="F101" s="19" t="s">
        <v>156</v>
      </c>
      <c r="G101" s="11">
        <v>5000</v>
      </c>
      <c r="H101" s="20">
        <f t="shared" si="11"/>
        <v>750</v>
      </c>
      <c r="I101" s="20">
        <f t="shared" si="9"/>
        <v>5750</v>
      </c>
      <c r="J101" s="11">
        <f>2875+2875</f>
        <v>5750</v>
      </c>
      <c r="K101" s="21">
        <f t="shared" si="10"/>
        <v>0</v>
      </c>
      <c r="L101" s="1" t="s">
        <v>13</v>
      </c>
    </row>
    <row r="102" spans="1:12" ht="17.399999999999999" x14ac:dyDescent="0.35">
      <c r="A102" s="8" t="str">
        <f t="shared" si="8"/>
        <v>مراجعة 2021</v>
      </c>
      <c r="B102" s="8"/>
      <c r="C102" s="36">
        <v>44712</v>
      </c>
      <c r="D102" s="19" t="s">
        <v>211</v>
      </c>
      <c r="E102" s="15" t="s">
        <v>212</v>
      </c>
      <c r="F102" s="19" t="s">
        <v>156</v>
      </c>
      <c r="G102" s="11">
        <v>8000</v>
      </c>
      <c r="H102" s="20">
        <f t="shared" si="11"/>
        <v>1200</v>
      </c>
      <c r="I102" s="20">
        <f t="shared" si="9"/>
        <v>9200</v>
      </c>
      <c r="J102" s="11">
        <f>4600+4600</f>
        <v>9200</v>
      </c>
      <c r="K102" s="21">
        <f t="shared" si="10"/>
        <v>0</v>
      </c>
      <c r="L102" s="1" t="s">
        <v>13</v>
      </c>
    </row>
    <row r="103" spans="1:12" ht="17.399999999999999" x14ac:dyDescent="0.35">
      <c r="A103" s="8" t="str">
        <f t="shared" si="8"/>
        <v>2021</v>
      </c>
      <c r="B103" s="8"/>
      <c r="C103" s="36">
        <v>44717</v>
      </c>
      <c r="D103" s="19" t="s">
        <v>213</v>
      </c>
      <c r="E103" s="32" t="s">
        <v>214</v>
      </c>
      <c r="F103" s="19">
        <v>2021</v>
      </c>
      <c r="G103" s="37">
        <f>7000/1.15</f>
        <v>6086.9565217391309</v>
      </c>
      <c r="H103" s="20">
        <f t="shared" si="11"/>
        <v>913.04347826086962</v>
      </c>
      <c r="I103" s="20">
        <f t="shared" si="9"/>
        <v>7000.0000000000009</v>
      </c>
      <c r="J103" s="11">
        <v>7000</v>
      </c>
      <c r="K103" s="21">
        <f t="shared" si="10"/>
        <v>0</v>
      </c>
      <c r="L103" s="1" t="s">
        <v>186</v>
      </c>
    </row>
    <row r="104" spans="1:12" ht="17.399999999999999" x14ac:dyDescent="0.35">
      <c r="A104" s="8" t="str">
        <f t="shared" si="8"/>
        <v>2021</v>
      </c>
      <c r="B104" s="8"/>
      <c r="C104" s="36">
        <v>44718</v>
      </c>
      <c r="D104" s="19" t="s">
        <v>215</v>
      </c>
      <c r="E104" s="15" t="s">
        <v>216</v>
      </c>
      <c r="F104" s="19">
        <v>2021</v>
      </c>
      <c r="G104" s="11">
        <v>55000</v>
      </c>
      <c r="H104" s="20">
        <f t="shared" si="11"/>
        <v>8250</v>
      </c>
      <c r="I104" s="20">
        <f t="shared" si="9"/>
        <v>63250</v>
      </c>
      <c r="J104" s="11">
        <f>31625+31625</f>
        <v>63250</v>
      </c>
      <c r="K104" s="21">
        <f t="shared" si="10"/>
        <v>0</v>
      </c>
      <c r="L104" s="17" t="s">
        <v>22</v>
      </c>
    </row>
    <row r="105" spans="1:12" ht="17.399999999999999" x14ac:dyDescent="0.35">
      <c r="A105" s="8" t="str">
        <f t="shared" si="8"/>
        <v>مراجعة 2021</v>
      </c>
      <c r="B105" s="8"/>
      <c r="C105" s="36">
        <v>44718</v>
      </c>
      <c r="D105" s="19" t="s">
        <v>217</v>
      </c>
      <c r="E105" s="15" t="s">
        <v>218</v>
      </c>
      <c r="F105" s="19" t="s">
        <v>156</v>
      </c>
      <c r="G105" s="11">
        <v>28000</v>
      </c>
      <c r="H105" s="20">
        <f t="shared" si="11"/>
        <v>4200</v>
      </c>
      <c r="I105" s="20">
        <f t="shared" si="9"/>
        <v>32200</v>
      </c>
      <c r="J105" s="11">
        <f>16100+16100</f>
        <v>32200</v>
      </c>
      <c r="K105" s="21">
        <f t="shared" si="10"/>
        <v>0</v>
      </c>
      <c r="L105" s="1" t="s">
        <v>13</v>
      </c>
    </row>
    <row r="106" spans="1:12" ht="17.399999999999999" x14ac:dyDescent="0.35">
      <c r="A106" s="8" t="str">
        <f t="shared" si="8"/>
        <v>مراجعة 2021</v>
      </c>
      <c r="B106" s="8"/>
      <c r="C106" s="36">
        <v>44718</v>
      </c>
      <c r="D106" s="19" t="s">
        <v>219</v>
      </c>
      <c r="E106" s="15" t="s">
        <v>220</v>
      </c>
      <c r="F106" s="19" t="s">
        <v>156</v>
      </c>
      <c r="G106" s="11">
        <v>32000</v>
      </c>
      <c r="H106" s="20">
        <f t="shared" si="11"/>
        <v>4800</v>
      </c>
      <c r="I106" s="20">
        <f t="shared" si="9"/>
        <v>36800</v>
      </c>
      <c r="J106" s="11">
        <f>18100+18700</f>
        <v>36800</v>
      </c>
      <c r="K106" s="21">
        <f t="shared" si="10"/>
        <v>0</v>
      </c>
      <c r="L106" s="1" t="s">
        <v>13</v>
      </c>
    </row>
    <row r="107" spans="1:12" ht="17.399999999999999" x14ac:dyDescent="0.35">
      <c r="A107" s="8" t="str">
        <f t="shared" si="8"/>
        <v>مراجعة 2021</v>
      </c>
      <c r="B107" s="8"/>
      <c r="C107" s="36">
        <v>44718</v>
      </c>
      <c r="D107" s="19" t="s">
        <v>221</v>
      </c>
      <c r="E107" s="15" t="s">
        <v>222</v>
      </c>
      <c r="F107" s="19" t="s">
        <v>156</v>
      </c>
      <c r="G107" s="11">
        <v>35000</v>
      </c>
      <c r="H107" s="20">
        <f t="shared" si="11"/>
        <v>5250</v>
      </c>
      <c r="I107" s="20">
        <f t="shared" si="9"/>
        <v>40250</v>
      </c>
      <c r="J107" s="11">
        <f>20125+20125</f>
        <v>40250</v>
      </c>
      <c r="K107" s="21">
        <f t="shared" si="10"/>
        <v>0</v>
      </c>
      <c r="L107" s="1" t="s">
        <v>13</v>
      </c>
    </row>
    <row r="108" spans="1:12" ht="17.399999999999999" x14ac:dyDescent="0.35">
      <c r="A108" s="8" t="str">
        <f t="shared" si="8"/>
        <v>مراجعة 2021</v>
      </c>
      <c r="B108" s="8"/>
      <c r="C108" s="36">
        <v>44718</v>
      </c>
      <c r="D108" s="19" t="s">
        <v>223</v>
      </c>
      <c r="E108" s="15" t="s">
        <v>224</v>
      </c>
      <c r="F108" s="19" t="s">
        <v>156</v>
      </c>
      <c r="G108" s="11">
        <v>9000</v>
      </c>
      <c r="H108" s="20">
        <f t="shared" si="11"/>
        <v>1350</v>
      </c>
      <c r="I108" s="20">
        <f t="shared" si="9"/>
        <v>10350</v>
      </c>
      <c r="J108" s="11">
        <f>5175+5175</f>
        <v>10350</v>
      </c>
      <c r="K108" s="21">
        <f t="shared" si="10"/>
        <v>0</v>
      </c>
      <c r="L108" s="1" t="s">
        <v>13</v>
      </c>
    </row>
    <row r="109" spans="1:12" ht="17.399999999999999" x14ac:dyDescent="0.35">
      <c r="A109" s="8" t="str">
        <f t="shared" si="8"/>
        <v>تقرير راس المال</v>
      </c>
      <c r="B109" s="8"/>
      <c r="C109" s="36"/>
      <c r="D109" s="19" t="s">
        <v>225</v>
      </c>
      <c r="E109" s="15" t="s">
        <v>216</v>
      </c>
      <c r="F109" s="19" t="s">
        <v>226</v>
      </c>
      <c r="G109" s="11">
        <v>5000</v>
      </c>
      <c r="H109" s="20">
        <f t="shared" si="11"/>
        <v>750</v>
      </c>
      <c r="I109" s="20">
        <f t="shared" si="9"/>
        <v>5750</v>
      </c>
      <c r="J109" s="11">
        <v>5750</v>
      </c>
      <c r="K109" s="21">
        <f t="shared" si="10"/>
        <v>0</v>
      </c>
      <c r="L109" s="1" t="s">
        <v>13</v>
      </c>
    </row>
    <row r="110" spans="1:12" ht="17.399999999999999" x14ac:dyDescent="0.35">
      <c r="A110" s="8" t="str">
        <f t="shared" si="8"/>
        <v>مراجعة 2020</v>
      </c>
      <c r="B110" s="8"/>
      <c r="C110" s="36">
        <v>44762</v>
      </c>
      <c r="D110" s="19" t="s">
        <v>227</v>
      </c>
      <c r="E110" s="15" t="s">
        <v>35</v>
      </c>
      <c r="F110" s="19" t="s">
        <v>160</v>
      </c>
      <c r="G110" s="11">
        <v>10000</v>
      </c>
      <c r="H110" s="20">
        <f t="shared" si="11"/>
        <v>1500</v>
      </c>
      <c r="I110" s="20">
        <f t="shared" si="9"/>
        <v>11500</v>
      </c>
      <c r="J110" s="11">
        <v>11500</v>
      </c>
      <c r="K110" s="21">
        <f t="shared" si="10"/>
        <v>0</v>
      </c>
      <c r="L110" s="1" t="s">
        <v>13</v>
      </c>
    </row>
    <row r="111" spans="1:12" ht="17.399999999999999" x14ac:dyDescent="0.35">
      <c r="A111" s="8" t="str">
        <f t="shared" si="8"/>
        <v>2021</v>
      </c>
      <c r="B111" s="8"/>
      <c r="C111" s="36">
        <v>44762</v>
      </c>
      <c r="D111" s="19" t="s">
        <v>228</v>
      </c>
      <c r="E111" s="32" t="s">
        <v>35</v>
      </c>
      <c r="F111" s="19">
        <v>2021</v>
      </c>
      <c r="G111" s="37">
        <f>15000-3261</f>
        <v>11739</v>
      </c>
      <c r="H111" s="20">
        <f t="shared" si="11"/>
        <v>1760.85</v>
      </c>
      <c r="I111" s="20">
        <f t="shared" si="9"/>
        <v>13499.85</v>
      </c>
      <c r="J111" s="11">
        <f>7500+10000</f>
        <v>17500</v>
      </c>
      <c r="K111" s="21">
        <f t="shared" si="10"/>
        <v>-4000.1499999999996</v>
      </c>
      <c r="L111" s="1" t="s">
        <v>186</v>
      </c>
    </row>
    <row r="112" spans="1:12" ht="17.399999999999999" x14ac:dyDescent="0.35">
      <c r="A112" s="8" t="str">
        <f t="shared" si="8"/>
        <v>2020</v>
      </c>
      <c r="B112" s="8"/>
      <c r="C112" s="36">
        <v>44786</v>
      </c>
      <c r="D112" s="19" t="s">
        <v>229</v>
      </c>
      <c r="E112" s="15" t="s">
        <v>230</v>
      </c>
      <c r="F112" s="19">
        <v>2020</v>
      </c>
      <c r="G112" s="11">
        <v>20000</v>
      </c>
      <c r="H112" s="20">
        <f t="shared" si="11"/>
        <v>3000</v>
      </c>
      <c r="I112" s="20">
        <f t="shared" si="9"/>
        <v>23000</v>
      </c>
      <c r="J112" s="11">
        <f>11500+11500</f>
        <v>23000</v>
      </c>
      <c r="K112" s="21">
        <f t="shared" si="10"/>
        <v>0</v>
      </c>
      <c r="L112" s="17" t="s">
        <v>22</v>
      </c>
    </row>
    <row r="113" spans="1:12" ht="17.399999999999999" x14ac:dyDescent="0.35">
      <c r="A113" s="8" t="str">
        <f t="shared" si="8"/>
        <v>2021</v>
      </c>
      <c r="B113" s="8"/>
      <c r="C113" s="36">
        <v>44786</v>
      </c>
      <c r="D113" s="19" t="s">
        <v>229</v>
      </c>
      <c r="E113" s="15" t="s">
        <v>230</v>
      </c>
      <c r="F113" s="19">
        <v>2021</v>
      </c>
      <c r="G113" s="11">
        <v>20000</v>
      </c>
      <c r="H113" s="20">
        <f t="shared" si="11"/>
        <v>3000</v>
      </c>
      <c r="I113" s="20">
        <f t="shared" si="9"/>
        <v>23000</v>
      </c>
      <c r="J113" s="11">
        <f>11500+11500</f>
        <v>23000</v>
      </c>
      <c r="K113" s="21">
        <f t="shared" si="10"/>
        <v>0</v>
      </c>
      <c r="L113" s="17" t="s">
        <v>22</v>
      </c>
    </row>
    <row r="114" spans="1:12" ht="17.399999999999999" x14ac:dyDescent="0.35">
      <c r="A114" s="8" t="str">
        <f t="shared" si="8"/>
        <v>تقرير اختلاس</v>
      </c>
      <c r="B114" s="8"/>
      <c r="C114" s="23"/>
      <c r="D114" s="19" t="s">
        <v>231</v>
      </c>
      <c r="E114" s="15" t="s">
        <v>183</v>
      </c>
      <c r="F114" s="19" t="s">
        <v>232</v>
      </c>
      <c r="G114" s="11">
        <v>5000</v>
      </c>
      <c r="H114" s="20">
        <f t="shared" si="11"/>
        <v>750</v>
      </c>
      <c r="I114" s="20">
        <f t="shared" si="9"/>
        <v>5750</v>
      </c>
      <c r="J114" s="11">
        <f>2875+2875</f>
        <v>5750</v>
      </c>
      <c r="K114" s="21">
        <f t="shared" si="10"/>
        <v>0</v>
      </c>
      <c r="L114" s="1" t="s">
        <v>13</v>
      </c>
    </row>
    <row r="115" spans="1:12" ht="17.399999999999999" x14ac:dyDescent="0.35">
      <c r="A115" s="8" t="str">
        <f t="shared" si="8"/>
        <v>مراجعة 2021</v>
      </c>
      <c r="B115" s="8"/>
      <c r="C115" s="36">
        <v>44832</v>
      </c>
      <c r="D115" s="19" t="s">
        <v>233</v>
      </c>
      <c r="E115" s="15" t="s">
        <v>234</v>
      </c>
      <c r="F115" s="19" t="s">
        <v>156</v>
      </c>
      <c r="G115" s="11">
        <v>24000</v>
      </c>
      <c r="H115" s="20">
        <f t="shared" si="11"/>
        <v>3600</v>
      </c>
      <c r="I115" s="20">
        <f t="shared" si="9"/>
        <v>27600</v>
      </c>
      <c r="J115" s="11">
        <f>13800+13800</f>
        <v>27600</v>
      </c>
      <c r="K115" s="21">
        <f t="shared" si="10"/>
        <v>0</v>
      </c>
      <c r="L115" s="1" t="s">
        <v>13</v>
      </c>
    </row>
    <row r="116" spans="1:12" ht="17.399999999999999" hidden="1" x14ac:dyDescent="0.35">
      <c r="A116" s="8" t="str">
        <f t="shared" si="8"/>
        <v>زكاة</v>
      </c>
      <c r="B116" s="8"/>
      <c r="C116" s="23"/>
      <c r="D116" s="19"/>
      <c r="E116" s="15" t="s">
        <v>235</v>
      </c>
      <c r="F116" s="19" t="s">
        <v>236</v>
      </c>
      <c r="G116" s="30">
        <f>1000/1.15</f>
        <v>869.56521739130437</v>
      </c>
      <c r="H116" s="20">
        <f t="shared" si="11"/>
        <v>130.43478260869566</v>
      </c>
      <c r="I116" s="20">
        <f t="shared" si="9"/>
        <v>1000</v>
      </c>
      <c r="J116" s="11">
        <v>1000</v>
      </c>
      <c r="K116" s="21">
        <f t="shared" si="10"/>
        <v>0</v>
      </c>
      <c r="L116" s="1" t="s">
        <v>13</v>
      </c>
    </row>
    <row r="117" spans="1:12" ht="17.399999999999999" x14ac:dyDescent="0.35">
      <c r="A117" s="8" t="str">
        <f t="shared" si="8"/>
        <v>2022</v>
      </c>
      <c r="B117" s="8"/>
      <c r="C117" s="36">
        <v>44886</v>
      </c>
      <c r="D117" s="19" t="s">
        <v>237</v>
      </c>
      <c r="E117" s="32" t="s">
        <v>220</v>
      </c>
      <c r="F117" s="19">
        <v>2022</v>
      </c>
      <c r="G117" s="37">
        <v>30000</v>
      </c>
      <c r="H117" s="20">
        <f t="shared" si="11"/>
        <v>4500</v>
      </c>
      <c r="I117" s="20">
        <f t="shared" si="9"/>
        <v>34500</v>
      </c>
      <c r="J117" s="11">
        <f>17250+17250</f>
        <v>34500</v>
      </c>
      <c r="K117" s="21">
        <f t="shared" si="10"/>
        <v>0</v>
      </c>
      <c r="L117" s="1" t="s">
        <v>186</v>
      </c>
    </row>
    <row r="118" spans="1:12" ht="17.399999999999999" x14ac:dyDescent="0.35">
      <c r="A118" s="8" t="str">
        <f t="shared" si="8"/>
        <v>2022</v>
      </c>
      <c r="B118" s="8"/>
      <c r="C118" s="36">
        <v>44886</v>
      </c>
      <c r="D118" s="19" t="s">
        <v>238</v>
      </c>
      <c r="E118" s="32" t="s">
        <v>239</v>
      </c>
      <c r="F118" s="19">
        <v>2022</v>
      </c>
      <c r="G118" s="37">
        <v>30000</v>
      </c>
      <c r="H118" s="20">
        <f t="shared" si="11"/>
        <v>4500</v>
      </c>
      <c r="I118" s="20">
        <f t="shared" si="9"/>
        <v>34500</v>
      </c>
      <c r="J118" s="11">
        <f>17250+17250</f>
        <v>34500</v>
      </c>
      <c r="K118" s="21">
        <f t="shared" si="10"/>
        <v>0</v>
      </c>
      <c r="L118" s="1" t="s">
        <v>186</v>
      </c>
    </row>
    <row r="119" spans="1:12" ht="17.399999999999999" x14ac:dyDescent="0.35">
      <c r="A119" s="8" t="str">
        <f t="shared" si="8"/>
        <v>مراجعة 2022</v>
      </c>
      <c r="B119" s="8"/>
      <c r="C119" s="36">
        <v>44901</v>
      </c>
      <c r="D119" s="19" t="s">
        <v>240</v>
      </c>
      <c r="E119" s="15" t="s">
        <v>241</v>
      </c>
      <c r="F119" s="19" t="s">
        <v>166</v>
      </c>
      <c r="G119" s="11">
        <v>25000</v>
      </c>
      <c r="H119" s="20">
        <f t="shared" si="11"/>
        <v>3750</v>
      </c>
      <c r="I119" s="20">
        <f t="shared" si="9"/>
        <v>28750</v>
      </c>
      <c r="J119" s="11">
        <f>14375+14375</f>
        <v>28750</v>
      </c>
      <c r="K119" s="21">
        <f t="shared" si="10"/>
        <v>0</v>
      </c>
      <c r="L119" s="1" t="s">
        <v>13</v>
      </c>
    </row>
    <row r="120" spans="1:12" ht="17.399999999999999" x14ac:dyDescent="0.35">
      <c r="A120" s="8" t="str">
        <f t="shared" si="8"/>
        <v>مراجعة 2022</v>
      </c>
      <c r="B120" s="8"/>
      <c r="C120" s="36">
        <v>44901</v>
      </c>
      <c r="D120" s="19" t="s">
        <v>242</v>
      </c>
      <c r="E120" s="15" t="s">
        <v>78</v>
      </c>
      <c r="F120" s="19" t="s">
        <v>166</v>
      </c>
      <c r="G120" s="11">
        <v>20000</v>
      </c>
      <c r="H120" s="20">
        <f t="shared" si="11"/>
        <v>3000</v>
      </c>
      <c r="I120" s="20">
        <f t="shared" si="9"/>
        <v>23000</v>
      </c>
      <c r="J120" s="11">
        <f>11500+11500</f>
        <v>23000</v>
      </c>
      <c r="K120" s="21">
        <f t="shared" si="10"/>
        <v>0</v>
      </c>
      <c r="L120" s="1" t="s">
        <v>13</v>
      </c>
    </row>
    <row r="121" spans="1:12" ht="17.399999999999999" x14ac:dyDescent="0.35">
      <c r="A121" s="8" t="str">
        <f t="shared" si="8"/>
        <v>2022</v>
      </c>
      <c r="B121" s="8"/>
      <c r="C121" s="36">
        <v>44897</v>
      </c>
      <c r="D121" s="19" t="s">
        <v>243</v>
      </c>
      <c r="E121" s="32" t="s">
        <v>244</v>
      </c>
      <c r="F121" s="19">
        <v>2022</v>
      </c>
      <c r="G121" s="11">
        <v>5652</v>
      </c>
      <c r="H121" s="20">
        <f t="shared" si="11"/>
        <v>847.8</v>
      </c>
      <c r="I121" s="20">
        <f t="shared" si="9"/>
        <v>6499.8</v>
      </c>
      <c r="J121" s="11">
        <f>3250+3250</f>
        <v>6500</v>
      </c>
      <c r="K121" s="21">
        <f t="shared" si="10"/>
        <v>-0.1999999999998181</v>
      </c>
      <c r="L121" s="1" t="s">
        <v>13</v>
      </c>
    </row>
    <row r="122" spans="1:12" ht="17.399999999999999" x14ac:dyDescent="0.35">
      <c r="A122" s="8" t="str">
        <f t="shared" si="8"/>
        <v>2020</v>
      </c>
      <c r="B122" s="8"/>
      <c r="C122" s="36">
        <v>44917</v>
      </c>
      <c r="D122" s="19" t="s">
        <v>245</v>
      </c>
      <c r="E122" s="32" t="s">
        <v>246</v>
      </c>
      <c r="F122" s="19">
        <v>2020</v>
      </c>
      <c r="G122" s="37">
        <v>9500</v>
      </c>
      <c r="H122" s="20">
        <f t="shared" si="11"/>
        <v>1425</v>
      </c>
      <c r="I122" s="20">
        <f t="shared" si="9"/>
        <v>10925</v>
      </c>
      <c r="J122" s="11">
        <f>7500+3425</f>
        <v>10925</v>
      </c>
      <c r="K122" s="21">
        <f t="shared" si="10"/>
        <v>0</v>
      </c>
      <c r="L122" s="1" t="s">
        <v>186</v>
      </c>
    </row>
    <row r="123" spans="1:12" ht="17.399999999999999" x14ac:dyDescent="0.35">
      <c r="A123" s="8" t="str">
        <f t="shared" si="8"/>
        <v>2021</v>
      </c>
      <c r="B123" s="8"/>
      <c r="C123" s="36">
        <v>44917</v>
      </c>
      <c r="D123" s="19" t="s">
        <v>245</v>
      </c>
      <c r="E123" s="32" t="s">
        <v>246</v>
      </c>
      <c r="F123" s="19">
        <v>2021</v>
      </c>
      <c r="G123" s="37">
        <v>9500</v>
      </c>
      <c r="H123" s="20">
        <f t="shared" si="11"/>
        <v>1425</v>
      </c>
      <c r="I123" s="20">
        <f t="shared" si="9"/>
        <v>10925</v>
      </c>
      <c r="J123" s="11">
        <f>7500+3425</f>
        <v>10925</v>
      </c>
      <c r="K123" s="21">
        <f t="shared" si="10"/>
        <v>0</v>
      </c>
      <c r="L123" s="1" t="s">
        <v>186</v>
      </c>
    </row>
    <row r="124" spans="1:12" ht="17.399999999999999" x14ac:dyDescent="0.35">
      <c r="A124" s="8" t="str">
        <f t="shared" si="8"/>
        <v>2022</v>
      </c>
      <c r="B124" s="8"/>
      <c r="C124" s="36">
        <v>44924</v>
      </c>
      <c r="D124" s="19" t="s">
        <v>247</v>
      </c>
      <c r="E124" s="32" t="s">
        <v>248</v>
      </c>
      <c r="F124" s="19">
        <v>2022</v>
      </c>
      <c r="G124" s="11">
        <v>8000</v>
      </c>
      <c r="H124" s="20">
        <f t="shared" si="11"/>
        <v>1200</v>
      </c>
      <c r="I124" s="20">
        <f t="shared" si="9"/>
        <v>9200</v>
      </c>
      <c r="J124" s="11">
        <f>4600+4600</f>
        <v>9200</v>
      </c>
      <c r="K124" s="21">
        <f t="shared" si="10"/>
        <v>0</v>
      </c>
      <c r="L124" s="1" t="s">
        <v>13</v>
      </c>
    </row>
    <row r="125" spans="1:12" ht="17.399999999999999" x14ac:dyDescent="0.35">
      <c r="A125" s="8" t="str">
        <f t="shared" si="8"/>
        <v>مراجعة 2022</v>
      </c>
      <c r="B125" s="8"/>
      <c r="C125" s="36">
        <v>44924</v>
      </c>
      <c r="D125" s="19" t="s">
        <v>249</v>
      </c>
      <c r="E125" s="15" t="s">
        <v>250</v>
      </c>
      <c r="F125" s="19" t="s">
        <v>166</v>
      </c>
      <c r="G125" s="11">
        <v>11000</v>
      </c>
      <c r="H125" s="20">
        <f t="shared" si="11"/>
        <v>1650</v>
      </c>
      <c r="I125" s="20">
        <f t="shared" si="9"/>
        <v>12650</v>
      </c>
      <c r="J125" s="11">
        <f>6325+6325</f>
        <v>12650</v>
      </c>
      <c r="K125" s="21">
        <f t="shared" si="10"/>
        <v>0</v>
      </c>
      <c r="L125" s="1" t="s">
        <v>13</v>
      </c>
    </row>
    <row r="126" spans="1:12" ht="17.399999999999999" x14ac:dyDescent="0.35">
      <c r="A126" s="8" t="str">
        <f t="shared" si="8"/>
        <v>2022</v>
      </c>
      <c r="B126" s="8"/>
      <c r="C126" s="36">
        <v>44926</v>
      </c>
      <c r="D126" s="19" t="s">
        <v>251</v>
      </c>
      <c r="E126" s="15" t="s">
        <v>252</v>
      </c>
      <c r="F126" s="19">
        <v>2022</v>
      </c>
      <c r="G126" s="11">
        <v>12000</v>
      </c>
      <c r="H126" s="20">
        <f t="shared" si="11"/>
        <v>1800</v>
      </c>
      <c r="I126" s="20">
        <f t="shared" si="9"/>
        <v>13800</v>
      </c>
      <c r="J126" s="11">
        <f>8625+5175</f>
        <v>13800</v>
      </c>
      <c r="K126" s="21">
        <f t="shared" si="10"/>
        <v>0</v>
      </c>
      <c r="L126" s="1" t="s">
        <v>171</v>
      </c>
    </row>
    <row r="127" spans="1:12" ht="17.399999999999999" x14ac:dyDescent="0.35">
      <c r="A127" s="8" t="str">
        <f t="shared" si="8"/>
        <v>2022</v>
      </c>
      <c r="B127" s="8"/>
      <c r="C127" s="36">
        <v>44928</v>
      </c>
      <c r="D127" s="19" t="s">
        <v>253</v>
      </c>
      <c r="E127" s="32" t="s">
        <v>222</v>
      </c>
      <c r="F127" s="19">
        <v>2022</v>
      </c>
      <c r="G127" s="37">
        <v>40000</v>
      </c>
      <c r="H127" s="20">
        <f t="shared" si="11"/>
        <v>6000</v>
      </c>
      <c r="I127" s="20">
        <f t="shared" si="9"/>
        <v>46000</v>
      </c>
      <c r="J127" s="11">
        <f>20000+26000</f>
        <v>46000</v>
      </c>
      <c r="K127" s="21">
        <f t="shared" si="10"/>
        <v>0</v>
      </c>
      <c r="L127" s="1" t="s">
        <v>186</v>
      </c>
    </row>
    <row r="128" spans="1:12" ht="17.399999999999999" x14ac:dyDescent="0.35">
      <c r="A128" s="8" t="str">
        <f t="shared" si="8"/>
        <v>2022</v>
      </c>
      <c r="B128" s="8"/>
      <c r="C128" s="36">
        <v>44929</v>
      </c>
      <c r="D128" s="19" t="s">
        <v>254</v>
      </c>
      <c r="E128" s="32" t="s">
        <v>216</v>
      </c>
      <c r="F128" s="19">
        <v>2022</v>
      </c>
      <c r="G128" s="37">
        <v>55000</v>
      </c>
      <c r="H128" s="20">
        <f t="shared" si="11"/>
        <v>8250</v>
      </c>
      <c r="I128" s="20">
        <f t="shared" si="9"/>
        <v>63250</v>
      </c>
      <c r="J128" s="11">
        <f>31625+31625</f>
        <v>63250</v>
      </c>
      <c r="K128" s="21">
        <f t="shared" si="10"/>
        <v>0</v>
      </c>
      <c r="L128" s="1" t="s">
        <v>186</v>
      </c>
    </row>
    <row r="129" spans="1:12" ht="17.399999999999999" x14ac:dyDescent="0.35">
      <c r="A129" s="8" t="str">
        <f t="shared" si="8"/>
        <v>2019</v>
      </c>
      <c r="B129" s="8"/>
      <c r="C129" s="36">
        <v>44933</v>
      </c>
      <c r="D129" s="19" t="s">
        <v>255</v>
      </c>
      <c r="E129" s="15" t="s">
        <v>256</v>
      </c>
      <c r="F129" s="19">
        <v>2019</v>
      </c>
      <c r="G129" s="11">
        <v>10500</v>
      </c>
      <c r="H129" s="20">
        <f t="shared" si="11"/>
        <v>1575</v>
      </c>
      <c r="I129" s="20">
        <f t="shared" si="9"/>
        <v>12075</v>
      </c>
      <c r="J129" s="11">
        <v>12075</v>
      </c>
      <c r="K129" s="21">
        <f t="shared" si="10"/>
        <v>0</v>
      </c>
      <c r="L129" s="1" t="s">
        <v>13</v>
      </c>
    </row>
    <row r="130" spans="1:12" ht="17.399999999999999" x14ac:dyDescent="0.35">
      <c r="A130" s="8" t="str">
        <f t="shared" ref="A130:A193" si="12">B130&amp;F130</f>
        <v>2020</v>
      </c>
      <c r="B130" s="8"/>
      <c r="C130" s="36">
        <v>44933</v>
      </c>
      <c r="D130" s="19" t="s">
        <v>255</v>
      </c>
      <c r="E130" s="32" t="s">
        <v>256</v>
      </c>
      <c r="F130" s="19">
        <v>2020</v>
      </c>
      <c r="G130" s="11">
        <v>10500</v>
      </c>
      <c r="H130" s="20">
        <f t="shared" si="11"/>
        <v>1575</v>
      </c>
      <c r="I130" s="20">
        <f t="shared" si="9"/>
        <v>12075</v>
      </c>
      <c r="J130" s="11">
        <f>I130*0.5+6037.5</f>
        <v>12075</v>
      </c>
      <c r="K130" s="21">
        <f t="shared" si="10"/>
        <v>0</v>
      </c>
      <c r="L130" s="1" t="s">
        <v>13</v>
      </c>
    </row>
    <row r="131" spans="1:12" ht="17.399999999999999" x14ac:dyDescent="0.35">
      <c r="A131" s="8" t="str">
        <f t="shared" si="12"/>
        <v>2021</v>
      </c>
      <c r="B131" s="8"/>
      <c r="C131" s="36">
        <v>44933</v>
      </c>
      <c r="D131" s="19" t="s">
        <v>255</v>
      </c>
      <c r="E131" s="32" t="s">
        <v>256</v>
      </c>
      <c r="F131" s="19">
        <v>2021</v>
      </c>
      <c r="G131" s="11">
        <v>10500</v>
      </c>
      <c r="H131" s="20">
        <f t="shared" si="11"/>
        <v>1575</v>
      </c>
      <c r="I131" s="20">
        <f t="shared" si="9"/>
        <v>12075</v>
      </c>
      <c r="J131" s="11">
        <f>12075</f>
        <v>12075</v>
      </c>
      <c r="K131" s="21">
        <f t="shared" si="10"/>
        <v>0</v>
      </c>
      <c r="L131" s="1" t="s">
        <v>13</v>
      </c>
    </row>
    <row r="132" spans="1:12" ht="17.399999999999999" x14ac:dyDescent="0.35">
      <c r="A132" s="8" t="str">
        <f t="shared" si="12"/>
        <v>2021</v>
      </c>
      <c r="B132" s="8"/>
      <c r="C132" s="36">
        <v>44935</v>
      </c>
      <c r="D132" s="19" t="s">
        <v>257</v>
      </c>
      <c r="E132" s="15" t="s">
        <v>258</v>
      </c>
      <c r="F132" s="19">
        <v>2021</v>
      </c>
      <c r="G132" s="11">
        <v>14000</v>
      </c>
      <c r="H132" s="20">
        <f t="shared" si="11"/>
        <v>2100</v>
      </c>
      <c r="I132" s="20">
        <f t="shared" si="9"/>
        <v>16100</v>
      </c>
      <c r="J132" s="11">
        <f>7000+7000+2100</f>
        <v>16100</v>
      </c>
      <c r="K132" s="21">
        <f t="shared" si="10"/>
        <v>0</v>
      </c>
      <c r="L132" s="17" t="s">
        <v>22</v>
      </c>
    </row>
    <row r="133" spans="1:12" ht="17.399999999999999" x14ac:dyDescent="0.35">
      <c r="A133" s="8" t="str">
        <f t="shared" si="12"/>
        <v>2022</v>
      </c>
      <c r="B133" s="8"/>
      <c r="C133" s="36">
        <v>44935</v>
      </c>
      <c r="D133" s="19" t="s">
        <v>259</v>
      </c>
      <c r="E133" s="15" t="s">
        <v>260</v>
      </c>
      <c r="F133" s="19">
        <v>2022</v>
      </c>
      <c r="G133" s="11">
        <v>12500</v>
      </c>
      <c r="H133" s="20">
        <f t="shared" si="11"/>
        <v>1875</v>
      </c>
      <c r="I133" s="20">
        <f t="shared" ref="I133:I196" si="13">H133+G133</f>
        <v>14375</v>
      </c>
      <c r="J133" s="11">
        <f>14375</f>
        <v>14375</v>
      </c>
      <c r="K133" s="21">
        <f t="shared" si="10"/>
        <v>0</v>
      </c>
      <c r="L133" s="1" t="s">
        <v>171</v>
      </c>
    </row>
    <row r="134" spans="1:12" ht="17.399999999999999" x14ac:dyDescent="0.35">
      <c r="A134" s="8" t="str">
        <f t="shared" si="12"/>
        <v>2022</v>
      </c>
      <c r="B134" s="8"/>
      <c r="C134" s="36">
        <v>44936</v>
      </c>
      <c r="D134" s="19" t="s">
        <v>261</v>
      </c>
      <c r="E134" s="32" t="s">
        <v>47</v>
      </c>
      <c r="F134" s="19">
        <v>2022</v>
      </c>
      <c r="G134" s="37">
        <v>18000</v>
      </c>
      <c r="H134" s="20">
        <f t="shared" si="11"/>
        <v>2700</v>
      </c>
      <c r="I134" s="20">
        <f t="shared" si="13"/>
        <v>20700</v>
      </c>
      <c r="J134" s="11">
        <f>10350+10350</f>
        <v>20700</v>
      </c>
      <c r="K134" s="21">
        <f t="shared" si="10"/>
        <v>0</v>
      </c>
      <c r="L134" s="1" t="s">
        <v>186</v>
      </c>
    </row>
    <row r="135" spans="1:12" ht="17.399999999999999" x14ac:dyDescent="0.35">
      <c r="A135" s="8" t="str">
        <f t="shared" si="12"/>
        <v>2020/2021</v>
      </c>
      <c r="B135" s="8"/>
      <c r="C135" s="36">
        <v>44937</v>
      </c>
      <c r="D135" s="19" t="s">
        <v>262</v>
      </c>
      <c r="E135" s="15" t="s">
        <v>263</v>
      </c>
      <c r="F135" s="19" t="s">
        <v>264</v>
      </c>
      <c r="G135" s="11">
        <v>12000</v>
      </c>
      <c r="H135" s="20">
        <f t="shared" si="11"/>
        <v>1800</v>
      </c>
      <c r="I135" s="20">
        <f t="shared" si="13"/>
        <v>13800</v>
      </c>
      <c r="J135" s="11">
        <f>10000+3800</f>
        <v>13800</v>
      </c>
      <c r="K135" s="21">
        <f t="shared" si="10"/>
        <v>0</v>
      </c>
      <c r="L135" s="1" t="s">
        <v>13</v>
      </c>
    </row>
    <row r="136" spans="1:12" ht="17.399999999999999" x14ac:dyDescent="0.35">
      <c r="A136" s="8" t="str">
        <f t="shared" si="12"/>
        <v>2022</v>
      </c>
      <c r="B136" s="8"/>
      <c r="C136" s="36">
        <v>44944</v>
      </c>
      <c r="D136" s="19" t="s">
        <v>265</v>
      </c>
      <c r="E136" s="15" t="s">
        <v>266</v>
      </c>
      <c r="F136" s="19">
        <v>2022</v>
      </c>
      <c r="G136" s="11">
        <f>6500/1.15</f>
        <v>5652.1739130434789</v>
      </c>
      <c r="H136" s="20">
        <f t="shared" si="11"/>
        <v>847.82608695652186</v>
      </c>
      <c r="I136" s="20">
        <f t="shared" si="13"/>
        <v>6500.0000000000009</v>
      </c>
      <c r="J136" s="11">
        <f>3250+3250</f>
        <v>6500</v>
      </c>
      <c r="K136" s="21">
        <f t="shared" si="10"/>
        <v>0</v>
      </c>
      <c r="L136" s="1" t="s">
        <v>13</v>
      </c>
    </row>
    <row r="137" spans="1:12" ht="17.399999999999999" x14ac:dyDescent="0.35">
      <c r="A137" s="8" t="str">
        <f t="shared" si="12"/>
        <v>10106475842022</v>
      </c>
      <c r="B137" s="8">
        <v>1010647584</v>
      </c>
      <c r="C137" s="36">
        <v>44962</v>
      </c>
      <c r="D137" s="19" t="s">
        <v>267</v>
      </c>
      <c r="E137" s="15" t="s">
        <v>123</v>
      </c>
      <c r="F137" s="19">
        <v>2022</v>
      </c>
      <c r="G137" s="11">
        <v>10000</v>
      </c>
      <c r="H137" s="20">
        <f t="shared" si="11"/>
        <v>1500</v>
      </c>
      <c r="I137" s="20">
        <f t="shared" si="13"/>
        <v>11500</v>
      </c>
      <c r="J137" s="11">
        <f>5000+6500</f>
        <v>11500</v>
      </c>
      <c r="K137" s="21">
        <f t="shared" si="10"/>
        <v>0</v>
      </c>
      <c r="L137" s="1" t="s">
        <v>149</v>
      </c>
    </row>
    <row r="138" spans="1:12" ht="17.399999999999999" x14ac:dyDescent="0.35">
      <c r="A138" s="8" t="str">
        <f t="shared" si="12"/>
        <v>2022</v>
      </c>
      <c r="B138" s="8"/>
      <c r="C138" s="36">
        <v>44971</v>
      </c>
      <c r="D138" s="19" t="s">
        <v>268</v>
      </c>
      <c r="E138" s="15" t="s">
        <v>269</v>
      </c>
      <c r="F138" s="19">
        <v>2022</v>
      </c>
      <c r="G138" s="11">
        <v>9000</v>
      </c>
      <c r="H138" s="20">
        <f t="shared" si="11"/>
        <v>1350</v>
      </c>
      <c r="I138" s="20">
        <f t="shared" si="13"/>
        <v>10350</v>
      </c>
      <c r="J138" s="11">
        <f>5175+5175</f>
        <v>10350</v>
      </c>
      <c r="K138" s="21">
        <f t="shared" si="10"/>
        <v>0</v>
      </c>
      <c r="L138" s="17" t="s">
        <v>22</v>
      </c>
    </row>
    <row r="139" spans="1:12" ht="17.399999999999999" x14ac:dyDescent="0.35">
      <c r="A139" s="8" t="str">
        <f t="shared" si="12"/>
        <v>2019</v>
      </c>
      <c r="B139" s="8"/>
      <c r="C139" s="36">
        <v>44977</v>
      </c>
      <c r="D139" s="19" t="s">
        <v>270</v>
      </c>
      <c r="E139" s="15" t="s">
        <v>271</v>
      </c>
      <c r="F139" s="19">
        <v>2019</v>
      </c>
      <c r="G139" s="11">
        <v>15000</v>
      </c>
      <c r="H139" s="20">
        <f t="shared" si="11"/>
        <v>2250</v>
      </c>
      <c r="I139" s="20">
        <f t="shared" si="13"/>
        <v>17250</v>
      </c>
      <c r="J139" s="11">
        <f>11500+5750</f>
        <v>17250</v>
      </c>
      <c r="K139" s="21">
        <f t="shared" si="10"/>
        <v>0</v>
      </c>
      <c r="L139" s="1" t="s">
        <v>272</v>
      </c>
    </row>
    <row r="140" spans="1:12" ht="17.399999999999999" x14ac:dyDescent="0.35">
      <c r="A140" s="8" t="str">
        <f t="shared" si="12"/>
        <v>2020</v>
      </c>
      <c r="B140" s="8"/>
      <c r="C140" s="36">
        <v>44977</v>
      </c>
      <c r="D140" s="19" t="s">
        <v>270</v>
      </c>
      <c r="E140" s="15" t="s">
        <v>271</v>
      </c>
      <c r="F140" s="19">
        <v>2020</v>
      </c>
      <c r="G140" s="11">
        <v>15000</v>
      </c>
      <c r="H140" s="20">
        <f t="shared" si="11"/>
        <v>2250</v>
      </c>
      <c r="I140" s="20">
        <f t="shared" si="13"/>
        <v>17250</v>
      </c>
      <c r="J140" s="11">
        <f>11500+5750</f>
        <v>17250</v>
      </c>
      <c r="K140" s="21">
        <f t="shared" si="10"/>
        <v>0</v>
      </c>
      <c r="L140" s="1" t="s">
        <v>272</v>
      </c>
    </row>
    <row r="141" spans="1:12" ht="17.399999999999999" hidden="1" x14ac:dyDescent="0.35">
      <c r="A141" s="8" t="str">
        <f t="shared" si="12"/>
        <v>40302856112021</v>
      </c>
      <c r="B141" s="8">
        <v>4030285611</v>
      </c>
      <c r="C141" s="36">
        <v>44977</v>
      </c>
      <c r="D141" s="19" t="s">
        <v>270</v>
      </c>
      <c r="E141" s="15" t="s">
        <v>271</v>
      </c>
      <c r="F141" s="19">
        <v>2021</v>
      </c>
      <c r="G141" s="11">
        <v>15000</v>
      </c>
      <c r="H141" s="20">
        <f t="shared" si="11"/>
        <v>2250</v>
      </c>
      <c r="I141" s="20">
        <f t="shared" si="13"/>
        <v>17250</v>
      </c>
      <c r="J141" s="11"/>
      <c r="K141" s="21">
        <f t="shared" si="10"/>
        <v>17250</v>
      </c>
      <c r="L141" s="1" t="s">
        <v>15</v>
      </c>
    </row>
    <row r="142" spans="1:12" ht="17.399999999999999" hidden="1" x14ac:dyDescent="0.35">
      <c r="A142" s="8" t="str">
        <f t="shared" si="12"/>
        <v>40302856112022</v>
      </c>
      <c r="B142" s="8">
        <v>4030285611</v>
      </c>
      <c r="C142" s="36">
        <v>44977</v>
      </c>
      <c r="D142" s="19" t="s">
        <v>270</v>
      </c>
      <c r="E142" s="15" t="s">
        <v>271</v>
      </c>
      <c r="F142" s="19">
        <v>2022</v>
      </c>
      <c r="G142" s="11">
        <v>15000</v>
      </c>
      <c r="H142" s="20">
        <f t="shared" si="11"/>
        <v>2250</v>
      </c>
      <c r="I142" s="20">
        <f t="shared" si="13"/>
        <v>17250</v>
      </c>
      <c r="J142" s="11"/>
      <c r="K142" s="21">
        <f t="shared" si="10"/>
        <v>17250</v>
      </c>
      <c r="L142" s="1" t="s">
        <v>15</v>
      </c>
    </row>
    <row r="143" spans="1:12" ht="17.399999999999999" x14ac:dyDescent="0.35">
      <c r="A143" s="8" t="str">
        <f t="shared" si="12"/>
        <v>2022</v>
      </c>
      <c r="B143" s="8"/>
      <c r="C143" s="36">
        <v>44977</v>
      </c>
      <c r="D143" s="19" t="s">
        <v>273</v>
      </c>
      <c r="E143" s="32" t="s">
        <v>274</v>
      </c>
      <c r="F143" s="19">
        <v>2022</v>
      </c>
      <c r="G143" s="11">
        <v>10000</v>
      </c>
      <c r="H143" s="20">
        <f t="shared" si="11"/>
        <v>1500</v>
      </c>
      <c r="I143" s="20">
        <f t="shared" si="13"/>
        <v>11500</v>
      </c>
      <c r="J143" s="11">
        <v>11500</v>
      </c>
      <c r="K143" s="21">
        <f t="shared" si="10"/>
        <v>0</v>
      </c>
      <c r="L143" s="1" t="s">
        <v>13</v>
      </c>
    </row>
    <row r="144" spans="1:12" ht="17.399999999999999" x14ac:dyDescent="0.35">
      <c r="A144" s="8" t="str">
        <f t="shared" si="12"/>
        <v>10102639602022</v>
      </c>
      <c r="B144" s="8">
        <v>1010263960</v>
      </c>
      <c r="C144" s="36">
        <v>44947</v>
      </c>
      <c r="D144" s="19" t="s">
        <v>275</v>
      </c>
      <c r="E144" s="15" t="s">
        <v>208</v>
      </c>
      <c r="F144" s="19">
        <v>2022</v>
      </c>
      <c r="G144" s="11">
        <v>18000</v>
      </c>
      <c r="H144" s="20">
        <f t="shared" si="11"/>
        <v>2700</v>
      </c>
      <c r="I144" s="20">
        <f t="shared" si="13"/>
        <v>20700</v>
      </c>
      <c r="J144" s="11">
        <f>10000</f>
        <v>10000</v>
      </c>
      <c r="K144" s="21">
        <f t="shared" si="10"/>
        <v>10700</v>
      </c>
      <c r="L144" s="1" t="s">
        <v>276</v>
      </c>
    </row>
    <row r="145" spans="1:12" ht="17.399999999999999" x14ac:dyDescent="0.35">
      <c r="A145" s="8" t="str">
        <f t="shared" si="12"/>
        <v>2022</v>
      </c>
      <c r="B145" s="8"/>
      <c r="C145" s="36">
        <v>44984</v>
      </c>
      <c r="D145" s="19" t="s">
        <v>277</v>
      </c>
      <c r="E145" s="15" t="s">
        <v>278</v>
      </c>
      <c r="F145" s="19">
        <v>2022</v>
      </c>
      <c r="G145" s="11">
        <v>7000</v>
      </c>
      <c r="H145" s="20">
        <f t="shared" si="11"/>
        <v>1050</v>
      </c>
      <c r="I145" s="20">
        <f t="shared" si="13"/>
        <v>8050</v>
      </c>
      <c r="J145" s="11">
        <f>4025+4025</f>
        <v>8050</v>
      </c>
      <c r="K145" s="21">
        <f t="shared" si="10"/>
        <v>0</v>
      </c>
      <c r="L145" s="1" t="s">
        <v>13</v>
      </c>
    </row>
    <row r="146" spans="1:12" ht="17.399999999999999" x14ac:dyDescent="0.35">
      <c r="A146" s="8" t="str">
        <f t="shared" si="12"/>
        <v>2022</v>
      </c>
      <c r="B146" s="8"/>
      <c r="C146" s="36">
        <v>44985</v>
      </c>
      <c r="D146" s="19" t="s">
        <v>279</v>
      </c>
      <c r="E146" s="32" t="s">
        <v>280</v>
      </c>
      <c r="F146" s="19">
        <v>2022</v>
      </c>
      <c r="G146" s="37">
        <v>14000</v>
      </c>
      <c r="H146" s="20">
        <f t="shared" si="11"/>
        <v>2100</v>
      </c>
      <c r="I146" s="20">
        <f t="shared" si="13"/>
        <v>16100</v>
      </c>
      <c r="J146" s="11">
        <f>8050+8050</f>
        <v>16100</v>
      </c>
      <c r="K146" s="21">
        <f t="shared" si="10"/>
        <v>0</v>
      </c>
      <c r="L146" s="1" t="s">
        <v>186</v>
      </c>
    </row>
    <row r="147" spans="1:12" ht="17.399999999999999" x14ac:dyDescent="0.35">
      <c r="A147" s="8" t="str">
        <f t="shared" si="12"/>
        <v>10102804382022</v>
      </c>
      <c r="B147" s="8">
        <v>1010280438</v>
      </c>
      <c r="C147" s="36">
        <v>44996</v>
      </c>
      <c r="D147" s="19" t="s">
        <v>281</v>
      </c>
      <c r="E147" s="15" t="s">
        <v>282</v>
      </c>
      <c r="F147" s="19">
        <v>2022</v>
      </c>
      <c r="G147" s="11">
        <v>10000</v>
      </c>
      <c r="H147" s="20">
        <f t="shared" si="11"/>
        <v>1500</v>
      </c>
      <c r="I147" s="20">
        <f t="shared" si="13"/>
        <v>11500</v>
      </c>
      <c r="J147" s="11">
        <f>5000+6500</f>
        <v>11500</v>
      </c>
      <c r="K147" s="21">
        <f t="shared" ref="K147:K210" si="14">I147-J147</f>
        <v>0</v>
      </c>
      <c r="L147" s="1" t="s">
        <v>149</v>
      </c>
    </row>
    <row r="148" spans="1:12" ht="17.399999999999999" x14ac:dyDescent="0.35">
      <c r="A148" s="8" t="str">
        <f t="shared" si="12"/>
        <v>2022</v>
      </c>
      <c r="B148" s="8"/>
      <c r="C148" s="36">
        <v>44996</v>
      </c>
      <c r="D148" s="19" t="s">
        <v>283</v>
      </c>
      <c r="E148" s="15" t="s">
        <v>193</v>
      </c>
      <c r="F148" s="19">
        <v>2022</v>
      </c>
      <c r="G148" s="11">
        <v>13000</v>
      </c>
      <c r="H148" s="20">
        <f t="shared" si="11"/>
        <v>1950</v>
      </c>
      <c r="I148" s="20">
        <f t="shared" si="13"/>
        <v>14950</v>
      </c>
      <c r="J148" s="11">
        <f>7475+7475</f>
        <v>14950</v>
      </c>
      <c r="K148" s="21">
        <f t="shared" si="14"/>
        <v>0</v>
      </c>
      <c r="L148" s="1" t="s">
        <v>272</v>
      </c>
    </row>
    <row r="149" spans="1:12" ht="17.399999999999999" x14ac:dyDescent="0.35">
      <c r="A149" s="8" t="str">
        <f t="shared" si="12"/>
        <v>2021</v>
      </c>
      <c r="B149" s="8"/>
      <c r="C149" s="36">
        <v>44997</v>
      </c>
      <c r="D149" s="19" t="s">
        <v>284</v>
      </c>
      <c r="E149" s="15" t="s">
        <v>285</v>
      </c>
      <c r="F149" s="19">
        <v>2021</v>
      </c>
      <c r="G149" s="11">
        <v>11500</v>
      </c>
      <c r="H149" s="20">
        <f t="shared" si="11"/>
        <v>1725</v>
      </c>
      <c r="I149" s="20">
        <f t="shared" si="13"/>
        <v>13225</v>
      </c>
      <c r="J149" s="11">
        <f>I149*0.5+6612.5</f>
        <v>13225</v>
      </c>
      <c r="K149" s="21">
        <f t="shared" si="14"/>
        <v>0</v>
      </c>
      <c r="L149" s="17" t="s">
        <v>22</v>
      </c>
    </row>
    <row r="150" spans="1:12" ht="17.399999999999999" x14ac:dyDescent="0.35">
      <c r="A150" s="8" t="str">
        <f t="shared" si="12"/>
        <v>2022</v>
      </c>
      <c r="B150" s="8"/>
      <c r="C150" s="36">
        <v>44997</v>
      </c>
      <c r="D150" s="19" t="s">
        <v>284</v>
      </c>
      <c r="E150" s="15" t="s">
        <v>285</v>
      </c>
      <c r="F150" s="19">
        <v>2022</v>
      </c>
      <c r="G150" s="11">
        <v>11500</v>
      </c>
      <c r="H150" s="20">
        <f t="shared" si="11"/>
        <v>1725</v>
      </c>
      <c r="I150" s="20">
        <f t="shared" si="13"/>
        <v>13225</v>
      </c>
      <c r="J150" s="11">
        <f>I150*0.5+6612.5</f>
        <v>13225</v>
      </c>
      <c r="K150" s="21">
        <f t="shared" si="14"/>
        <v>0</v>
      </c>
      <c r="L150" s="17" t="s">
        <v>22</v>
      </c>
    </row>
    <row r="151" spans="1:12" ht="17.399999999999999" x14ac:dyDescent="0.35">
      <c r="A151" s="8" t="str">
        <f t="shared" si="12"/>
        <v>2022</v>
      </c>
      <c r="B151" s="8"/>
      <c r="C151" s="36">
        <v>44998</v>
      </c>
      <c r="D151" s="19" t="s">
        <v>286</v>
      </c>
      <c r="E151" s="15" t="s">
        <v>287</v>
      </c>
      <c r="F151" s="19">
        <v>2022</v>
      </c>
      <c r="G151" s="11">
        <v>8000</v>
      </c>
      <c r="H151" s="20">
        <f t="shared" si="11"/>
        <v>1200</v>
      </c>
      <c r="I151" s="20">
        <f t="shared" si="13"/>
        <v>9200</v>
      </c>
      <c r="J151" s="11">
        <f>4600+4600</f>
        <v>9200</v>
      </c>
      <c r="K151" s="21">
        <f t="shared" si="14"/>
        <v>0</v>
      </c>
      <c r="L151" s="17" t="s">
        <v>22</v>
      </c>
    </row>
    <row r="152" spans="1:12" ht="17.399999999999999" x14ac:dyDescent="0.35">
      <c r="A152" s="8" t="str">
        <f t="shared" si="12"/>
        <v>2022</v>
      </c>
      <c r="B152" s="8"/>
      <c r="C152" s="36">
        <v>44999</v>
      </c>
      <c r="D152" s="19" t="s">
        <v>288</v>
      </c>
      <c r="E152" s="15" t="s">
        <v>289</v>
      </c>
      <c r="F152" s="19">
        <v>2022</v>
      </c>
      <c r="G152" s="11">
        <v>8000</v>
      </c>
      <c r="H152" s="20">
        <f t="shared" si="11"/>
        <v>1200</v>
      </c>
      <c r="I152" s="20">
        <f t="shared" si="13"/>
        <v>9200</v>
      </c>
      <c r="J152" s="11">
        <f>4600+4600</f>
        <v>9200</v>
      </c>
      <c r="K152" s="21">
        <f t="shared" si="14"/>
        <v>0</v>
      </c>
      <c r="L152" s="17" t="s">
        <v>22</v>
      </c>
    </row>
    <row r="153" spans="1:12" ht="17.399999999999999" x14ac:dyDescent="0.35">
      <c r="A153" s="8" t="str">
        <f t="shared" si="12"/>
        <v>2022</v>
      </c>
      <c r="B153" s="8"/>
      <c r="C153" s="36">
        <v>44999</v>
      </c>
      <c r="D153" s="19" t="s">
        <v>290</v>
      </c>
      <c r="E153" s="32" t="s">
        <v>291</v>
      </c>
      <c r="F153" s="19">
        <v>2022</v>
      </c>
      <c r="G153" s="37">
        <v>18000</v>
      </c>
      <c r="H153" s="20">
        <f t="shared" si="11"/>
        <v>2700</v>
      </c>
      <c r="I153" s="20">
        <f t="shared" si="13"/>
        <v>20700</v>
      </c>
      <c r="J153" s="11">
        <f>I153*0.5+10350</f>
        <v>20700</v>
      </c>
      <c r="K153" s="21">
        <f t="shared" si="14"/>
        <v>0</v>
      </c>
      <c r="L153" s="1" t="s">
        <v>186</v>
      </c>
    </row>
    <row r="154" spans="1:12" ht="17.399999999999999" x14ac:dyDescent="0.35">
      <c r="A154" s="8" t="str">
        <f t="shared" si="12"/>
        <v>2022</v>
      </c>
      <c r="B154" s="8"/>
      <c r="C154" s="36">
        <v>44999</v>
      </c>
      <c r="D154" s="19" t="s">
        <v>292</v>
      </c>
      <c r="E154" s="32" t="s">
        <v>293</v>
      </c>
      <c r="F154" s="19">
        <v>2022</v>
      </c>
      <c r="G154" s="37">
        <v>18000</v>
      </c>
      <c r="H154" s="20">
        <f t="shared" ref="H154:H217" si="15">G154*0.15</f>
        <v>2700</v>
      </c>
      <c r="I154" s="20">
        <f t="shared" si="13"/>
        <v>20700</v>
      </c>
      <c r="J154" s="11">
        <f>I154*0.5+10350</f>
        <v>20700</v>
      </c>
      <c r="K154" s="21">
        <f t="shared" si="14"/>
        <v>0</v>
      </c>
      <c r="L154" s="1" t="s">
        <v>186</v>
      </c>
    </row>
    <row r="155" spans="1:12" ht="17.399999999999999" x14ac:dyDescent="0.35">
      <c r="A155" s="8" t="str">
        <f t="shared" si="12"/>
        <v>10106856782022</v>
      </c>
      <c r="B155" s="8">
        <v>1010685678</v>
      </c>
      <c r="C155" s="36">
        <v>44999</v>
      </c>
      <c r="D155" s="19" t="s">
        <v>294</v>
      </c>
      <c r="E155" s="32" t="s">
        <v>295</v>
      </c>
      <c r="F155" s="19">
        <v>2022</v>
      </c>
      <c r="G155" s="37">
        <v>18000</v>
      </c>
      <c r="H155" s="20">
        <f t="shared" si="15"/>
        <v>2700</v>
      </c>
      <c r="I155" s="20">
        <f t="shared" si="13"/>
        <v>20700</v>
      </c>
      <c r="J155" s="11">
        <f>I155*0.5+10350</f>
        <v>20700</v>
      </c>
      <c r="K155" s="21">
        <f t="shared" si="14"/>
        <v>0</v>
      </c>
      <c r="L155" s="1" t="s">
        <v>186</v>
      </c>
    </row>
    <row r="156" spans="1:12" ht="17.399999999999999" x14ac:dyDescent="0.35">
      <c r="A156" s="8" t="str">
        <f t="shared" si="12"/>
        <v>2022</v>
      </c>
      <c r="B156" s="8"/>
      <c r="C156" s="36">
        <v>44999</v>
      </c>
      <c r="D156" s="19" t="s">
        <v>296</v>
      </c>
      <c r="E156" s="32" t="s">
        <v>297</v>
      </c>
      <c r="F156" s="19">
        <v>2022</v>
      </c>
      <c r="G156" s="37">
        <v>18000</v>
      </c>
      <c r="H156" s="20">
        <f t="shared" si="15"/>
        <v>2700</v>
      </c>
      <c r="I156" s="20">
        <f t="shared" si="13"/>
        <v>20700</v>
      </c>
      <c r="J156" s="11">
        <f>I156*0.5+10350</f>
        <v>20700</v>
      </c>
      <c r="K156" s="21">
        <f t="shared" si="14"/>
        <v>0</v>
      </c>
      <c r="L156" s="1" t="s">
        <v>186</v>
      </c>
    </row>
    <row r="157" spans="1:12" ht="17.399999999999999" x14ac:dyDescent="0.35">
      <c r="A157" s="8" t="str">
        <f t="shared" si="12"/>
        <v>2022</v>
      </c>
      <c r="B157" s="8"/>
      <c r="C157" s="36">
        <v>44999</v>
      </c>
      <c r="D157" s="19" t="s">
        <v>298</v>
      </c>
      <c r="E157" s="15" t="s">
        <v>299</v>
      </c>
      <c r="F157" s="19">
        <v>2022</v>
      </c>
      <c r="G157" s="11">
        <v>7500</v>
      </c>
      <c r="H157" s="20">
        <f t="shared" si="15"/>
        <v>1125</v>
      </c>
      <c r="I157" s="20">
        <f t="shared" si="13"/>
        <v>8625</v>
      </c>
      <c r="J157" s="11">
        <f>I157</f>
        <v>8625</v>
      </c>
      <c r="K157" s="21">
        <f t="shared" si="14"/>
        <v>0</v>
      </c>
      <c r="L157" s="1" t="s">
        <v>186</v>
      </c>
    </row>
    <row r="158" spans="1:12" ht="17.399999999999999" x14ac:dyDescent="0.35">
      <c r="A158" s="8" t="str">
        <f t="shared" si="12"/>
        <v>2022</v>
      </c>
      <c r="B158" s="8"/>
      <c r="C158" s="36">
        <v>44999</v>
      </c>
      <c r="D158" s="19" t="s">
        <v>300</v>
      </c>
      <c r="E158" s="38" t="s">
        <v>301</v>
      </c>
      <c r="F158" s="19">
        <v>2022</v>
      </c>
      <c r="G158" s="37">
        <v>15000</v>
      </c>
      <c r="H158" s="20">
        <f t="shared" si="15"/>
        <v>2250</v>
      </c>
      <c r="I158" s="20">
        <f t="shared" si="13"/>
        <v>17250</v>
      </c>
      <c r="J158" s="11">
        <f>I158*0.5+8625</f>
        <v>17250</v>
      </c>
      <c r="K158" s="21">
        <f t="shared" si="14"/>
        <v>0</v>
      </c>
      <c r="L158" s="1" t="s">
        <v>186</v>
      </c>
    </row>
    <row r="159" spans="1:12" ht="17.399999999999999" x14ac:dyDescent="0.35">
      <c r="A159" s="8" t="str">
        <f t="shared" si="12"/>
        <v>2022</v>
      </c>
      <c r="B159" s="8"/>
      <c r="C159" s="36">
        <v>44999</v>
      </c>
      <c r="D159" s="19" t="s">
        <v>302</v>
      </c>
      <c r="E159" s="38" t="s">
        <v>303</v>
      </c>
      <c r="F159" s="19">
        <v>2022</v>
      </c>
      <c r="G159" s="37">
        <v>15000</v>
      </c>
      <c r="H159" s="20">
        <f t="shared" si="15"/>
        <v>2250</v>
      </c>
      <c r="I159" s="20">
        <f t="shared" si="13"/>
        <v>17250</v>
      </c>
      <c r="J159" s="11">
        <f>I159*0.5+8625</f>
        <v>17250</v>
      </c>
      <c r="K159" s="21">
        <f t="shared" si="14"/>
        <v>0</v>
      </c>
      <c r="L159" s="1" t="s">
        <v>186</v>
      </c>
    </row>
    <row r="160" spans="1:12" ht="17.399999999999999" x14ac:dyDescent="0.35">
      <c r="A160" s="8" t="str">
        <f t="shared" si="12"/>
        <v>10107665032022</v>
      </c>
      <c r="B160" s="8">
        <v>1010766503</v>
      </c>
      <c r="C160" s="36">
        <v>44999</v>
      </c>
      <c r="D160" s="19" t="s">
        <v>304</v>
      </c>
      <c r="E160" s="32" t="s">
        <v>305</v>
      </c>
      <c r="F160" s="19">
        <v>2022</v>
      </c>
      <c r="G160" s="37">
        <v>15000</v>
      </c>
      <c r="H160" s="20">
        <f t="shared" si="15"/>
        <v>2250</v>
      </c>
      <c r="I160" s="20">
        <f t="shared" si="13"/>
        <v>17250</v>
      </c>
      <c r="J160" s="11">
        <f>I160*0.5+8625</f>
        <v>17250</v>
      </c>
      <c r="K160" s="21">
        <f t="shared" si="14"/>
        <v>0</v>
      </c>
      <c r="L160" s="1" t="s">
        <v>186</v>
      </c>
    </row>
    <row r="161" spans="1:12" ht="17.399999999999999" x14ac:dyDescent="0.35">
      <c r="A161" s="8" t="str">
        <f t="shared" si="12"/>
        <v>2022</v>
      </c>
      <c r="B161" s="8"/>
      <c r="C161" s="36">
        <v>44999</v>
      </c>
      <c r="D161" s="19" t="s">
        <v>306</v>
      </c>
      <c r="E161" s="32" t="s">
        <v>307</v>
      </c>
      <c r="F161" s="19">
        <v>2022</v>
      </c>
      <c r="G161" s="37">
        <v>15000</v>
      </c>
      <c r="H161" s="20">
        <f t="shared" si="15"/>
        <v>2250</v>
      </c>
      <c r="I161" s="20">
        <f t="shared" si="13"/>
        <v>17250</v>
      </c>
      <c r="J161" s="11">
        <f>I161*0.5+8625</f>
        <v>17250</v>
      </c>
      <c r="K161" s="21">
        <f t="shared" si="14"/>
        <v>0</v>
      </c>
      <c r="L161" s="1" t="s">
        <v>186</v>
      </c>
    </row>
    <row r="162" spans="1:12" ht="17.399999999999999" x14ac:dyDescent="0.35">
      <c r="A162" s="8" t="str">
        <f t="shared" si="12"/>
        <v>2022</v>
      </c>
      <c r="B162" s="8"/>
      <c r="C162" s="36">
        <v>44999</v>
      </c>
      <c r="D162" s="19" t="s">
        <v>308</v>
      </c>
      <c r="E162" s="32" t="s">
        <v>309</v>
      </c>
      <c r="F162" s="19">
        <v>2022</v>
      </c>
      <c r="G162" s="37">
        <v>15000</v>
      </c>
      <c r="H162" s="20">
        <f t="shared" si="15"/>
        <v>2250</v>
      </c>
      <c r="I162" s="20">
        <f t="shared" si="13"/>
        <v>17250</v>
      </c>
      <c r="J162" s="11">
        <f>I162*0.5+8625</f>
        <v>17250</v>
      </c>
      <c r="K162" s="21">
        <f t="shared" si="14"/>
        <v>0</v>
      </c>
      <c r="L162" s="1" t="s">
        <v>186</v>
      </c>
    </row>
    <row r="163" spans="1:12" ht="17.399999999999999" x14ac:dyDescent="0.35">
      <c r="A163" s="8" t="str">
        <f t="shared" si="12"/>
        <v>2022</v>
      </c>
      <c r="B163" s="8"/>
      <c r="C163" s="36">
        <v>44999</v>
      </c>
      <c r="D163" s="19" t="s">
        <v>310</v>
      </c>
      <c r="E163" s="15" t="s">
        <v>311</v>
      </c>
      <c r="F163" s="19">
        <v>2022</v>
      </c>
      <c r="G163" s="11">
        <v>7500</v>
      </c>
      <c r="H163" s="20">
        <f t="shared" si="15"/>
        <v>1125</v>
      </c>
      <c r="I163" s="20">
        <f t="shared" si="13"/>
        <v>8625</v>
      </c>
      <c r="J163" s="11">
        <f>I163</f>
        <v>8625</v>
      </c>
      <c r="K163" s="21">
        <f t="shared" si="14"/>
        <v>0</v>
      </c>
      <c r="L163" s="1" t="s">
        <v>186</v>
      </c>
    </row>
    <row r="164" spans="1:12" ht="17.399999999999999" x14ac:dyDescent="0.35">
      <c r="A164" s="8" t="str">
        <f t="shared" si="12"/>
        <v>2022</v>
      </c>
      <c r="B164" s="8"/>
      <c r="C164" s="36">
        <v>44999</v>
      </c>
      <c r="D164" s="19" t="s">
        <v>312</v>
      </c>
      <c r="E164" s="32" t="s">
        <v>313</v>
      </c>
      <c r="F164" s="19">
        <v>2022</v>
      </c>
      <c r="G164" s="37">
        <v>15000</v>
      </c>
      <c r="H164" s="20">
        <f t="shared" si="15"/>
        <v>2250</v>
      </c>
      <c r="I164" s="20">
        <f t="shared" si="13"/>
        <v>17250</v>
      </c>
      <c r="J164" s="11">
        <f>I164*0.5+8625</f>
        <v>17250</v>
      </c>
      <c r="K164" s="21">
        <f t="shared" si="14"/>
        <v>0</v>
      </c>
      <c r="L164" s="1" t="s">
        <v>186</v>
      </c>
    </row>
    <row r="165" spans="1:12" ht="17.399999999999999" x14ac:dyDescent="0.35">
      <c r="A165" s="8" t="str">
        <f t="shared" si="12"/>
        <v>2022</v>
      </c>
      <c r="B165" s="8"/>
      <c r="C165" s="36">
        <v>44999</v>
      </c>
      <c r="D165" s="19" t="s">
        <v>314</v>
      </c>
      <c r="E165" s="32" t="s">
        <v>315</v>
      </c>
      <c r="F165" s="19">
        <v>2022</v>
      </c>
      <c r="G165" s="37">
        <v>15000</v>
      </c>
      <c r="H165" s="20">
        <f t="shared" si="15"/>
        <v>2250</v>
      </c>
      <c r="I165" s="20">
        <f t="shared" si="13"/>
        <v>17250</v>
      </c>
      <c r="J165" s="11">
        <f>I165*0.5+8625</f>
        <v>17250</v>
      </c>
      <c r="K165" s="21">
        <f t="shared" si="14"/>
        <v>0</v>
      </c>
      <c r="L165" s="1" t="s">
        <v>186</v>
      </c>
    </row>
    <row r="166" spans="1:12" ht="17.399999999999999" x14ac:dyDescent="0.35">
      <c r="A166" s="8" t="str">
        <f t="shared" si="12"/>
        <v>10107799172022</v>
      </c>
      <c r="B166" s="8">
        <v>1010779917</v>
      </c>
      <c r="C166" s="36">
        <v>44999</v>
      </c>
      <c r="D166" s="19" t="s">
        <v>316</v>
      </c>
      <c r="E166" s="32" t="s">
        <v>317</v>
      </c>
      <c r="F166" s="19">
        <v>2022</v>
      </c>
      <c r="G166" s="37">
        <v>15000</v>
      </c>
      <c r="H166" s="20">
        <f t="shared" si="15"/>
        <v>2250</v>
      </c>
      <c r="I166" s="20">
        <f t="shared" si="13"/>
        <v>17250</v>
      </c>
      <c r="J166" s="11">
        <f>I166*0.5+8625</f>
        <v>17250</v>
      </c>
      <c r="K166" s="21">
        <f t="shared" si="14"/>
        <v>0</v>
      </c>
      <c r="L166" s="1" t="s">
        <v>186</v>
      </c>
    </row>
    <row r="167" spans="1:12" ht="17.399999999999999" x14ac:dyDescent="0.35">
      <c r="A167" s="8" t="str">
        <f t="shared" si="12"/>
        <v>10104655812022</v>
      </c>
      <c r="B167" s="8">
        <v>1010465581</v>
      </c>
      <c r="C167" s="36">
        <v>45000</v>
      </c>
      <c r="D167" s="19" t="s">
        <v>318</v>
      </c>
      <c r="E167" s="15" t="s">
        <v>319</v>
      </c>
      <c r="F167" s="19">
        <v>2022</v>
      </c>
      <c r="G167" s="11">
        <v>10000</v>
      </c>
      <c r="H167" s="20">
        <f t="shared" si="15"/>
        <v>1500</v>
      </c>
      <c r="I167" s="20">
        <f t="shared" si="13"/>
        <v>11500</v>
      </c>
      <c r="J167" s="11">
        <f>5750+5750</f>
        <v>11500</v>
      </c>
      <c r="K167" s="21">
        <f t="shared" si="14"/>
        <v>0</v>
      </c>
      <c r="L167" s="1" t="s">
        <v>27</v>
      </c>
    </row>
    <row r="168" spans="1:12" ht="17.399999999999999" x14ac:dyDescent="0.35">
      <c r="A168" s="8" t="str">
        <f t="shared" si="12"/>
        <v>2022</v>
      </c>
      <c r="B168" s="8"/>
      <c r="C168" s="36">
        <v>45000</v>
      </c>
      <c r="D168" s="19" t="s">
        <v>320</v>
      </c>
      <c r="E168" s="15" t="s">
        <v>321</v>
      </c>
      <c r="F168" s="19">
        <v>2022</v>
      </c>
      <c r="G168" s="11">
        <v>10000</v>
      </c>
      <c r="H168" s="20">
        <f t="shared" si="15"/>
        <v>1500</v>
      </c>
      <c r="I168" s="20">
        <f t="shared" si="13"/>
        <v>11500</v>
      </c>
      <c r="J168" s="11">
        <f>5750+5750</f>
        <v>11500</v>
      </c>
      <c r="K168" s="21">
        <f t="shared" si="14"/>
        <v>0</v>
      </c>
      <c r="L168" s="1" t="s">
        <v>114</v>
      </c>
    </row>
    <row r="169" spans="1:12" ht="17.399999999999999" x14ac:dyDescent="0.35">
      <c r="A169" s="8" t="str">
        <f t="shared" si="12"/>
        <v>10105209842022</v>
      </c>
      <c r="B169" s="8">
        <v>1010520984</v>
      </c>
      <c r="C169" s="36">
        <v>45000</v>
      </c>
      <c r="D169" s="19" t="s">
        <v>322</v>
      </c>
      <c r="E169" s="32" t="s">
        <v>113</v>
      </c>
      <c r="F169" s="19">
        <v>2022</v>
      </c>
      <c r="G169" s="11">
        <v>10000</v>
      </c>
      <c r="H169" s="20">
        <f t="shared" si="15"/>
        <v>1500</v>
      </c>
      <c r="I169" s="20">
        <f t="shared" si="13"/>
        <v>11500</v>
      </c>
      <c r="J169" s="11">
        <f>5750+5750</f>
        <v>11500</v>
      </c>
      <c r="K169" s="21">
        <f t="shared" si="14"/>
        <v>0</v>
      </c>
      <c r="L169" s="1" t="s">
        <v>117</v>
      </c>
    </row>
    <row r="170" spans="1:12" ht="17.399999999999999" x14ac:dyDescent="0.35">
      <c r="A170" s="8" t="str">
        <f t="shared" si="12"/>
        <v>2022</v>
      </c>
      <c r="B170" s="8"/>
      <c r="C170" s="36">
        <v>45001</v>
      </c>
      <c r="D170" s="19" t="s">
        <v>323</v>
      </c>
      <c r="E170" s="15" t="s">
        <v>324</v>
      </c>
      <c r="F170" s="19">
        <v>2022</v>
      </c>
      <c r="G170" s="11">
        <v>14500</v>
      </c>
      <c r="H170" s="20">
        <f t="shared" si="15"/>
        <v>2175</v>
      </c>
      <c r="I170" s="20">
        <f t="shared" si="13"/>
        <v>16675</v>
      </c>
      <c r="J170" s="11">
        <f>8337.5+8337.5</f>
        <v>16675</v>
      </c>
      <c r="K170" s="21">
        <f t="shared" si="14"/>
        <v>0</v>
      </c>
      <c r="L170" s="1" t="s">
        <v>204</v>
      </c>
    </row>
    <row r="171" spans="1:12" ht="17.399999999999999" x14ac:dyDescent="0.35">
      <c r="A171" s="8" t="str">
        <f t="shared" si="12"/>
        <v>2022</v>
      </c>
      <c r="B171" s="8"/>
      <c r="C171" s="36">
        <v>45001</v>
      </c>
      <c r="D171" s="19" t="s">
        <v>325</v>
      </c>
      <c r="E171" s="32" t="s">
        <v>326</v>
      </c>
      <c r="F171" s="19">
        <v>2022</v>
      </c>
      <c r="G171" s="37">
        <f>12500/1.15</f>
        <v>10869.565217391306</v>
      </c>
      <c r="H171" s="20">
        <f t="shared" si="15"/>
        <v>1630.4347826086957</v>
      </c>
      <c r="I171" s="20">
        <f t="shared" si="13"/>
        <v>12500.000000000002</v>
      </c>
      <c r="J171" s="11">
        <f>6500+6000</f>
        <v>12500</v>
      </c>
      <c r="K171" s="21">
        <f t="shared" si="14"/>
        <v>0</v>
      </c>
      <c r="L171" s="1" t="s">
        <v>186</v>
      </c>
    </row>
    <row r="172" spans="1:12" ht="17.399999999999999" x14ac:dyDescent="0.35">
      <c r="A172" s="8" t="str">
        <f t="shared" si="12"/>
        <v>10105667952022</v>
      </c>
      <c r="B172" s="8">
        <v>1010566795</v>
      </c>
      <c r="C172" s="36">
        <v>45003</v>
      </c>
      <c r="D172" s="19" t="s">
        <v>327</v>
      </c>
      <c r="E172" s="15" t="s">
        <v>76</v>
      </c>
      <c r="F172" s="19">
        <v>2022</v>
      </c>
      <c r="G172" s="11">
        <v>10000</v>
      </c>
      <c r="H172" s="20">
        <f t="shared" si="15"/>
        <v>1500</v>
      </c>
      <c r="I172" s="20">
        <f t="shared" si="13"/>
        <v>11500</v>
      </c>
      <c r="J172" s="11">
        <v>5750</v>
      </c>
      <c r="K172" s="21">
        <f t="shared" si="14"/>
        <v>5750</v>
      </c>
      <c r="L172" s="1" t="s">
        <v>276</v>
      </c>
    </row>
    <row r="173" spans="1:12" ht="17.399999999999999" x14ac:dyDescent="0.35">
      <c r="A173" s="8" t="str">
        <f t="shared" si="12"/>
        <v>2022</v>
      </c>
      <c r="B173" s="8"/>
      <c r="C173" s="36">
        <v>45003</v>
      </c>
      <c r="D173" s="19" t="s">
        <v>328</v>
      </c>
      <c r="E173" s="32" t="s">
        <v>329</v>
      </c>
      <c r="F173" s="19">
        <v>2022</v>
      </c>
      <c r="G173" s="37">
        <f>8000/1.15</f>
        <v>6956.521739130435</v>
      </c>
      <c r="H173" s="20">
        <f t="shared" si="15"/>
        <v>1043.4782608695652</v>
      </c>
      <c r="I173" s="20">
        <f t="shared" si="13"/>
        <v>8000</v>
      </c>
      <c r="J173" s="11">
        <f>3500+4500</f>
        <v>8000</v>
      </c>
      <c r="K173" s="21">
        <f t="shared" si="14"/>
        <v>0</v>
      </c>
      <c r="L173" s="1" t="s">
        <v>186</v>
      </c>
    </row>
    <row r="174" spans="1:12" ht="17.399999999999999" x14ac:dyDescent="0.35">
      <c r="A174" s="8" t="str">
        <f t="shared" si="12"/>
        <v>2022</v>
      </c>
      <c r="B174" s="8"/>
      <c r="C174" s="36">
        <v>45004</v>
      </c>
      <c r="D174" s="19" t="s">
        <v>330</v>
      </c>
      <c r="E174" s="15" t="s">
        <v>331</v>
      </c>
      <c r="F174" s="19">
        <v>2022</v>
      </c>
      <c r="G174" s="11">
        <f>15000/1.15</f>
        <v>13043.478260869566</v>
      </c>
      <c r="H174" s="20">
        <f t="shared" si="15"/>
        <v>1956.5217391304348</v>
      </c>
      <c r="I174" s="20">
        <f t="shared" si="13"/>
        <v>15000</v>
      </c>
      <c r="J174" s="11">
        <f>5500+8000</f>
        <v>13500</v>
      </c>
      <c r="K174" s="21">
        <f t="shared" si="14"/>
        <v>1500</v>
      </c>
      <c r="L174" s="1" t="s">
        <v>114</v>
      </c>
    </row>
    <row r="175" spans="1:12" ht="17.399999999999999" x14ac:dyDescent="0.35">
      <c r="A175" s="8" t="str">
        <f t="shared" si="12"/>
        <v>2022</v>
      </c>
      <c r="B175" s="8"/>
      <c r="C175" s="36">
        <v>45007</v>
      </c>
      <c r="D175" s="19" t="s">
        <v>332</v>
      </c>
      <c r="E175" s="32" t="s">
        <v>333</v>
      </c>
      <c r="F175" s="19">
        <v>2022</v>
      </c>
      <c r="G175" s="11">
        <f>7000/1.15</f>
        <v>6086.9565217391309</v>
      </c>
      <c r="H175" s="20">
        <f t="shared" si="15"/>
        <v>913.04347826086962</v>
      </c>
      <c r="I175" s="20">
        <f t="shared" si="13"/>
        <v>7000.0000000000009</v>
      </c>
      <c r="J175" s="11">
        <f>3500+3500</f>
        <v>7000</v>
      </c>
      <c r="K175" s="21">
        <f t="shared" si="14"/>
        <v>0</v>
      </c>
      <c r="L175" s="1" t="s">
        <v>13</v>
      </c>
    </row>
    <row r="176" spans="1:12" ht="17.399999999999999" x14ac:dyDescent="0.35">
      <c r="A176" s="8" t="str">
        <f t="shared" si="12"/>
        <v>2022</v>
      </c>
      <c r="B176" s="8"/>
      <c r="C176" s="36">
        <v>45010</v>
      </c>
      <c r="D176" s="19" t="s">
        <v>334</v>
      </c>
      <c r="E176" s="15" t="s">
        <v>176</v>
      </c>
      <c r="F176" s="19">
        <v>2022</v>
      </c>
      <c r="G176" s="11">
        <v>12500</v>
      </c>
      <c r="H176" s="20">
        <f t="shared" si="15"/>
        <v>1875</v>
      </c>
      <c r="I176" s="20">
        <f t="shared" si="13"/>
        <v>14375</v>
      </c>
      <c r="J176" s="11">
        <f>7187.5+7187.5</f>
        <v>14375</v>
      </c>
      <c r="K176" s="21">
        <f t="shared" si="14"/>
        <v>0</v>
      </c>
      <c r="L176" s="1" t="s">
        <v>204</v>
      </c>
    </row>
    <row r="177" spans="1:12" ht="17.399999999999999" x14ac:dyDescent="0.35">
      <c r="A177" s="8" t="str">
        <f t="shared" si="12"/>
        <v>2022</v>
      </c>
      <c r="B177" s="8"/>
      <c r="C177" s="36">
        <v>45014</v>
      </c>
      <c r="D177" s="19" t="s">
        <v>335</v>
      </c>
      <c r="E177" s="15" t="s">
        <v>201</v>
      </c>
      <c r="F177" s="19">
        <v>2022</v>
      </c>
      <c r="G177" s="11">
        <v>10000</v>
      </c>
      <c r="H177" s="20">
        <f t="shared" si="15"/>
        <v>1500</v>
      </c>
      <c r="I177" s="20">
        <f t="shared" si="13"/>
        <v>11500</v>
      </c>
      <c r="J177" s="11">
        <f>5750+5750</f>
        <v>11500</v>
      </c>
      <c r="K177" s="21">
        <f t="shared" si="14"/>
        <v>0</v>
      </c>
      <c r="L177" s="1" t="s">
        <v>272</v>
      </c>
    </row>
    <row r="178" spans="1:12" ht="17.399999999999999" x14ac:dyDescent="0.35">
      <c r="A178" s="8" t="str">
        <f t="shared" si="12"/>
        <v>2021</v>
      </c>
      <c r="B178" s="8"/>
      <c r="C178" s="36">
        <v>45018</v>
      </c>
      <c r="D178" s="19" t="s">
        <v>336</v>
      </c>
      <c r="E178" s="15" t="s">
        <v>337</v>
      </c>
      <c r="F178" s="19">
        <v>2021</v>
      </c>
      <c r="G178" s="11">
        <v>12500</v>
      </c>
      <c r="H178" s="20">
        <f t="shared" si="15"/>
        <v>1875</v>
      </c>
      <c r="I178" s="20">
        <f t="shared" si="13"/>
        <v>14375</v>
      </c>
      <c r="J178" s="11">
        <f>9583+4772+20</f>
        <v>14375</v>
      </c>
      <c r="K178" s="21">
        <f t="shared" si="14"/>
        <v>0</v>
      </c>
      <c r="L178" s="17" t="s">
        <v>22</v>
      </c>
    </row>
    <row r="179" spans="1:12" ht="17.399999999999999" hidden="1" x14ac:dyDescent="0.35">
      <c r="A179" s="8" t="str">
        <f t="shared" si="12"/>
        <v>2022</v>
      </c>
      <c r="B179" s="8"/>
      <c r="C179" s="36">
        <v>45018</v>
      </c>
      <c r="D179" s="19" t="s">
        <v>336</v>
      </c>
      <c r="E179" s="15" t="s">
        <v>337</v>
      </c>
      <c r="F179" s="19">
        <v>2022</v>
      </c>
      <c r="G179" s="11"/>
      <c r="H179" s="20">
        <f t="shared" si="15"/>
        <v>0</v>
      </c>
      <c r="I179" s="20">
        <f t="shared" si="13"/>
        <v>0</v>
      </c>
      <c r="J179" s="11"/>
      <c r="K179" s="21">
        <f t="shared" si="14"/>
        <v>0</v>
      </c>
      <c r="L179" s="1" t="s">
        <v>15</v>
      </c>
    </row>
    <row r="180" spans="1:12" ht="17.399999999999999" x14ac:dyDescent="0.35">
      <c r="A180" s="8" t="str">
        <f t="shared" si="12"/>
        <v>2022</v>
      </c>
      <c r="B180" s="8"/>
      <c r="C180" s="36">
        <v>45021</v>
      </c>
      <c r="D180" s="19" t="s">
        <v>338</v>
      </c>
      <c r="E180" s="15" t="s">
        <v>170</v>
      </c>
      <c r="F180" s="19">
        <v>2022</v>
      </c>
      <c r="G180" s="11">
        <f>8625/1.15</f>
        <v>7500.0000000000009</v>
      </c>
      <c r="H180" s="20">
        <f t="shared" si="15"/>
        <v>1125</v>
      </c>
      <c r="I180" s="20">
        <f t="shared" si="13"/>
        <v>8625</v>
      </c>
      <c r="J180" s="11">
        <f>8625</f>
        <v>8625</v>
      </c>
      <c r="K180" s="21">
        <f t="shared" si="14"/>
        <v>0</v>
      </c>
      <c r="L180" s="1" t="s">
        <v>204</v>
      </c>
    </row>
    <row r="181" spans="1:12" ht="17.399999999999999" x14ac:dyDescent="0.35">
      <c r="A181" s="8" t="str">
        <f t="shared" si="12"/>
        <v>2022</v>
      </c>
      <c r="B181" s="8"/>
      <c r="C181" s="36">
        <v>45025</v>
      </c>
      <c r="D181" s="19" t="s">
        <v>339</v>
      </c>
      <c r="E181" s="32" t="s">
        <v>246</v>
      </c>
      <c r="F181" s="19">
        <v>2022</v>
      </c>
      <c r="G181" s="37">
        <v>15000</v>
      </c>
      <c r="H181" s="20">
        <f t="shared" si="15"/>
        <v>2250</v>
      </c>
      <c r="I181" s="20">
        <f t="shared" si="13"/>
        <v>17250</v>
      </c>
      <c r="J181" s="11">
        <f>7500+9750</f>
        <v>17250</v>
      </c>
      <c r="K181" s="21">
        <f t="shared" si="14"/>
        <v>0</v>
      </c>
      <c r="L181" s="1" t="s">
        <v>186</v>
      </c>
    </row>
    <row r="182" spans="1:12" ht="17.399999999999999" x14ac:dyDescent="0.35">
      <c r="A182" s="8" t="str">
        <f t="shared" si="12"/>
        <v>2021</v>
      </c>
      <c r="B182" s="8"/>
      <c r="C182" s="36">
        <v>45026</v>
      </c>
      <c r="D182" s="19" t="s">
        <v>340</v>
      </c>
      <c r="E182" s="15" t="s">
        <v>341</v>
      </c>
      <c r="F182" s="19">
        <v>2021</v>
      </c>
      <c r="G182" s="11">
        <v>20000</v>
      </c>
      <c r="H182" s="20">
        <f t="shared" si="15"/>
        <v>3000</v>
      </c>
      <c r="I182" s="20">
        <f t="shared" si="13"/>
        <v>23000</v>
      </c>
      <c r="J182" s="11">
        <f>11500+11500</f>
        <v>23000</v>
      </c>
      <c r="K182" s="21">
        <f t="shared" si="14"/>
        <v>0</v>
      </c>
      <c r="L182" s="1" t="s">
        <v>272</v>
      </c>
    </row>
    <row r="183" spans="1:12" ht="17.399999999999999" x14ac:dyDescent="0.35">
      <c r="A183" s="8" t="str">
        <f t="shared" si="12"/>
        <v>2022</v>
      </c>
      <c r="B183" s="8"/>
      <c r="C183" s="36">
        <v>45026</v>
      </c>
      <c r="D183" s="19" t="s">
        <v>340</v>
      </c>
      <c r="E183" s="15" t="s">
        <v>341</v>
      </c>
      <c r="F183" s="19">
        <v>2022</v>
      </c>
      <c r="G183" s="11">
        <v>20000</v>
      </c>
      <c r="H183" s="20">
        <f t="shared" si="15"/>
        <v>3000</v>
      </c>
      <c r="I183" s="20">
        <f t="shared" si="13"/>
        <v>23000</v>
      </c>
      <c r="J183" s="11">
        <f>11500+11500</f>
        <v>23000</v>
      </c>
      <c r="K183" s="21">
        <f t="shared" si="14"/>
        <v>0</v>
      </c>
      <c r="L183" s="1" t="s">
        <v>272</v>
      </c>
    </row>
    <row r="184" spans="1:12" ht="17.399999999999999" x14ac:dyDescent="0.35">
      <c r="A184" s="8" t="str">
        <f t="shared" si="12"/>
        <v>2023</v>
      </c>
      <c r="B184" s="8"/>
      <c r="C184" s="36">
        <v>45246</v>
      </c>
      <c r="D184" s="19" t="s">
        <v>342</v>
      </c>
      <c r="E184" s="15" t="s">
        <v>343</v>
      </c>
      <c r="F184" s="19">
        <v>2023</v>
      </c>
      <c r="G184" s="11">
        <v>10000</v>
      </c>
      <c r="H184" s="20">
        <f t="shared" si="15"/>
        <v>1500</v>
      </c>
      <c r="I184" s="20">
        <f t="shared" si="13"/>
        <v>11500</v>
      </c>
      <c r="J184" s="11">
        <f>5750+5750</f>
        <v>11500</v>
      </c>
      <c r="K184" s="21">
        <f t="shared" si="14"/>
        <v>0</v>
      </c>
      <c r="L184" s="1" t="s">
        <v>171</v>
      </c>
    </row>
    <row r="185" spans="1:12" ht="17.399999999999999" x14ac:dyDescent="0.35">
      <c r="A185" s="8" t="str">
        <f t="shared" si="12"/>
        <v>10106934962022</v>
      </c>
      <c r="B185" s="8">
        <v>1010693496</v>
      </c>
      <c r="C185" s="36">
        <v>45026</v>
      </c>
      <c r="D185" s="19" t="s">
        <v>344</v>
      </c>
      <c r="E185" s="15" t="s">
        <v>345</v>
      </c>
      <c r="F185" s="19">
        <v>2022</v>
      </c>
      <c r="G185" s="11">
        <v>8000</v>
      </c>
      <c r="H185" s="20">
        <f t="shared" si="15"/>
        <v>1200</v>
      </c>
      <c r="I185" s="20">
        <f t="shared" si="13"/>
        <v>9200</v>
      </c>
      <c r="J185" s="11">
        <f>4000+4600</f>
        <v>8600</v>
      </c>
      <c r="K185" s="21">
        <f t="shared" si="14"/>
        <v>600</v>
      </c>
      <c r="L185" s="1" t="s">
        <v>117</v>
      </c>
    </row>
    <row r="186" spans="1:12" ht="17.399999999999999" x14ac:dyDescent="0.35">
      <c r="A186" s="8" t="str">
        <f t="shared" si="12"/>
        <v>2022</v>
      </c>
      <c r="B186" s="8"/>
      <c r="C186" s="36">
        <v>44668</v>
      </c>
      <c r="D186" s="19" t="s">
        <v>346</v>
      </c>
      <c r="E186" s="15" t="s">
        <v>230</v>
      </c>
      <c r="F186" s="19">
        <v>2022</v>
      </c>
      <c r="G186" s="11">
        <v>20000</v>
      </c>
      <c r="H186" s="20">
        <f t="shared" si="15"/>
        <v>3000</v>
      </c>
      <c r="I186" s="20">
        <f t="shared" si="13"/>
        <v>23000</v>
      </c>
      <c r="J186" s="11">
        <f>23000</f>
        <v>23000</v>
      </c>
      <c r="K186" s="21">
        <f t="shared" si="14"/>
        <v>0</v>
      </c>
      <c r="L186" s="17" t="s">
        <v>22</v>
      </c>
    </row>
    <row r="187" spans="1:12" s="47" customFormat="1" ht="17.399999999999999" x14ac:dyDescent="0.35">
      <c r="A187" s="41" t="str">
        <f t="shared" si="12"/>
        <v>2022</v>
      </c>
      <c r="B187" s="41"/>
      <c r="C187" s="42">
        <v>44678</v>
      </c>
      <c r="D187" s="41" t="s">
        <v>347</v>
      </c>
      <c r="E187" s="43" t="s">
        <v>348</v>
      </c>
      <c r="F187" s="19">
        <v>2022</v>
      </c>
      <c r="G187" s="44">
        <v>15000</v>
      </c>
      <c r="H187" s="44">
        <f t="shared" si="15"/>
        <v>2250</v>
      </c>
      <c r="I187" s="44">
        <f t="shared" si="13"/>
        <v>17250</v>
      </c>
      <c r="J187" s="44">
        <f>I187*0.5+8625</f>
        <v>17250</v>
      </c>
      <c r="K187" s="45">
        <f t="shared" si="14"/>
        <v>0</v>
      </c>
      <c r="L187" s="46" t="s">
        <v>272</v>
      </c>
    </row>
    <row r="188" spans="1:12" ht="17.399999999999999" x14ac:dyDescent="0.35">
      <c r="A188" s="8" t="str">
        <f t="shared" si="12"/>
        <v>2022</v>
      </c>
      <c r="B188" s="8"/>
      <c r="C188" s="36">
        <v>44678</v>
      </c>
      <c r="D188" s="19" t="s">
        <v>349</v>
      </c>
      <c r="E188" s="32" t="s">
        <v>350</v>
      </c>
      <c r="F188" s="19">
        <v>2022</v>
      </c>
      <c r="G188" s="37">
        <v>6500</v>
      </c>
      <c r="H188" s="20">
        <f t="shared" si="15"/>
        <v>975</v>
      </c>
      <c r="I188" s="20">
        <f t="shared" si="13"/>
        <v>7475</v>
      </c>
      <c r="J188" s="11">
        <f>I188*0.5+3737.5</f>
        <v>7475</v>
      </c>
      <c r="K188" s="21">
        <f t="shared" si="14"/>
        <v>0</v>
      </c>
      <c r="L188" s="1" t="s">
        <v>186</v>
      </c>
    </row>
    <row r="189" spans="1:12" ht="17.399999999999999" x14ac:dyDescent="0.35">
      <c r="A189" s="8" t="str">
        <f t="shared" si="12"/>
        <v>35500192792022</v>
      </c>
      <c r="B189" s="8">
        <v>3550019279</v>
      </c>
      <c r="C189" s="36">
        <v>44680</v>
      </c>
      <c r="D189" s="19" t="s">
        <v>351</v>
      </c>
      <c r="E189" s="15" t="s">
        <v>145</v>
      </c>
      <c r="F189" s="19">
        <v>2022</v>
      </c>
      <c r="G189" s="11">
        <v>13000</v>
      </c>
      <c r="H189" s="20">
        <f t="shared" si="15"/>
        <v>1950</v>
      </c>
      <c r="I189" s="20">
        <f t="shared" si="13"/>
        <v>14950</v>
      </c>
      <c r="J189" s="11">
        <f>7475+7475</f>
        <v>14950</v>
      </c>
      <c r="K189" s="21">
        <f t="shared" si="14"/>
        <v>0</v>
      </c>
      <c r="L189" s="1" t="s">
        <v>272</v>
      </c>
    </row>
    <row r="190" spans="1:12" ht="17.399999999999999" x14ac:dyDescent="0.35">
      <c r="A190" s="8" t="str">
        <f t="shared" si="12"/>
        <v>10102689772022</v>
      </c>
      <c r="B190" s="8">
        <v>1010268977</v>
      </c>
      <c r="C190" s="36">
        <v>44680</v>
      </c>
      <c r="D190" s="19" t="s">
        <v>352</v>
      </c>
      <c r="E190" s="39" t="s">
        <v>353</v>
      </c>
      <c r="F190" s="19">
        <v>2022</v>
      </c>
      <c r="G190" s="11">
        <v>12000</v>
      </c>
      <c r="H190" s="20">
        <f t="shared" si="15"/>
        <v>1800</v>
      </c>
      <c r="I190" s="20">
        <f t="shared" si="13"/>
        <v>13800</v>
      </c>
      <c r="J190" s="11">
        <v>13801</v>
      </c>
      <c r="K190" s="21">
        <f t="shared" si="14"/>
        <v>-1</v>
      </c>
      <c r="L190" s="1" t="s">
        <v>354</v>
      </c>
    </row>
    <row r="191" spans="1:12" ht="17.399999999999999" x14ac:dyDescent="0.35">
      <c r="A191" s="8" t="str">
        <f t="shared" si="12"/>
        <v>33501487482022</v>
      </c>
      <c r="B191" s="8">
        <v>3350148748</v>
      </c>
      <c r="C191" s="36">
        <v>45045</v>
      </c>
      <c r="D191" s="19" t="s">
        <v>355</v>
      </c>
      <c r="E191" s="15" t="s">
        <v>356</v>
      </c>
      <c r="F191" s="19">
        <v>2022</v>
      </c>
      <c r="G191" s="11">
        <v>11000</v>
      </c>
      <c r="H191" s="20">
        <f t="shared" si="15"/>
        <v>1650</v>
      </c>
      <c r="I191" s="20">
        <f t="shared" si="13"/>
        <v>12650</v>
      </c>
      <c r="J191" s="11">
        <f>6325+6325</f>
        <v>12650</v>
      </c>
      <c r="K191" s="21">
        <f t="shared" si="14"/>
        <v>0</v>
      </c>
      <c r="L191" s="17" t="s">
        <v>22</v>
      </c>
    </row>
    <row r="192" spans="1:12" ht="17.399999999999999" hidden="1" x14ac:dyDescent="0.35">
      <c r="A192" s="8" t="str">
        <f t="shared" si="12"/>
        <v>2022</v>
      </c>
      <c r="B192" s="8"/>
      <c r="C192" s="36">
        <v>45054</v>
      </c>
      <c r="D192" s="19" t="s">
        <v>357</v>
      </c>
      <c r="E192" s="15" t="s">
        <v>358</v>
      </c>
      <c r="F192" s="19">
        <v>2022</v>
      </c>
      <c r="G192" s="11"/>
      <c r="H192" s="20">
        <f t="shared" si="15"/>
        <v>0</v>
      </c>
      <c r="I192" s="20">
        <f t="shared" si="13"/>
        <v>0</v>
      </c>
      <c r="J192" s="11"/>
      <c r="K192" s="21">
        <f t="shared" si="14"/>
        <v>0</v>
      </c>
      <c r="L192" s="1" t="s">
        <v>15</v>
      </c>
    </row>
    <row r="193" spans="1:12" ht="17.399999999999999" x14ac:dyDescent="0.35">
      <c r="A193" s="8" t="str">
        <f t="shared" si="12"/>
        <v>10104737082021</v>
      </c>
      <c r="B193" s="8">
        <v>1010473708</v>
      </c>
      <c r="C193" s="36">
        <v>45043</v>
      </c>
      <c r="D193" s="19" t="s">
        <v>359</v>
      </c>
      <c r="E193" s="15" t="s">
        <v>360</v>
      </c>
      <c r="F193" s="19">
        <v>2021</v>
      </c>
      <c r="G193" s="11">
        <v>10000</v>
      </c>
      <c r="H193" s="20">
        <f t="shared" si="15"/>
        <v>1500</v>
      </c>
      <c r="I193" s="20">
        <f t="shared" si="13"/>
        <v>11500</v>
      </c>
      <c r="J193" s="11">
        <f>3450+2300+5750</f>
        <v>11500</v>
      </c>
      <c r="K193" s="21">
        <f t="shared" si="14"/>
        <v>0</v>
      </c>
      <c r="L193" s="1" t="s">
        <v>171</v>
      </c>
    </row>
    <row r="194" spans="1:12" ht="17.399999999999999" x14ac:dyDescent="0.35">
      <c r="A194" s="8" t="str">
        <f t="shared" ref="A194:A257" si="16">B194&amp;F194</f>
        <v>10104737082022</v>
      </c>
      <c r="B194" s="8">
        <v>1010473708</v>
      </c>
      <c r="C194" s="36">
        <v>45043</v>
      </c>
      <c r="D194" s="19" t="s">
        <v>359</v>
      </c>
      <c r="E194" s="15" t="s">
        <v>360</v>
      </c>
      <c r="F194" s="19">
        <v>2022</v>
      </c>
      <c r="G194" s="11">
        <v>10000</v>
      </c>
      <c r="H194" s="20">
        <f t="shared" si="15"/>
        <v>1500</v>
      </c>
      <c r="I194" s="20">
        <f t="shared" si="13"/>
        <v>11500</v>
      </c>
      <c r="J194" s="11">
        <f>5750+5750</f>
        <v>11500</v>
      </c>
      <c r="K194" s="21">
        <f t="shared" si="14"/>
        <v>0</v>
      </c>
      <c r="L194" s="1" t="s">
        <v>114</v>
      </c>
    </row>
    <row r="195" spans="1:12" ht="17.399999999999999" x14ac:dyDescent="0.35">
      <c r="A195" s="8" t="str">
        <f t="shared" si="16"/>
        <v>10104814652022</v>
      </c>
      <c r="B195" s="8">
        <v>1010481465</v>
      </c>
      <c r="C195" s="36">
        <v>45074</v>
      </c>
      <c r="D195" s="19" t="s">
        <v>361</v>
      </c>
      <c r="E195" s="15" t="s">
        <v>362</v>
      </c>
      <c r="F195" s="19">
        <v>2022</v>
      </c>
      <c r="G195" s="11">
        <v>8000</v>
      </c>
      <c r="H195" s="20">
        <f t="shared" si="15"/>
        <v>1200</v>
      </c>
      <c r="I195" s="20">
        <f t="shared" si="13"/>
        <v>9200</v>
      </c>
      <c r="J195" s="11">
        <f>4600+4600</f>
        <v>9200</v>
      </c>
      <c r="K195" s="21">
        <f t="shared" si="14"/>
        <v>0</v>
      </c>
      <c r="L195" s="1" t="s">
        <v>171</v>
      </c>
    </row>
    <row r="196" spans="1:12" ht="17.399999999999999" x14ac:dyDescent="0.35">
      <c r="A196" s="8" t="str">
        <f t="shared" si="16"/>
        <v>10103729192022</v>
      </c>
      <c r="B196" s="8">
        <v>1010372919</v>
      </c>
      <c r="C196" s="36">
        <v>45074</v>
      </c>
      <c r="D196" s="19" t="s">
        <v>363</v>
      </c>
      <c r="E196" s="15" t="s">
        <v>364</v>
      </c>
      <c r="F196" s="19">
        <v>2022</v>
      </c>
      <c r="G196" s="11">
        <v>12500</v>
      </c>
      <c r="H196" s="20">
        <f t="shared" si="15"/>
        <v>1875</v>
      </c>
      <c r="I196" s="20">
        <f t="shared" si="13"/>
        <v>14375</v>
      </c>
      <c r="J196" s="11">
        <f>7187.5+7187.5</f>
        <v>14375</v>
      </c>
      <c r="K196" s="21">
        <f t="shared" si="14"/>
        <v>0</v>
      </c>
      <c r="L196" s="1" t="s">
        <v>37</v>
      </c>
    </row>
    <row r="197" spans="1:12" ht="17.399999999999999" x14ac:dyDescent="0.35">
      <c r="A197" s="8" t="str">
        <f t="shared" si="16"/>
        <v>10109506402022</v>
      </c>
      <c r="B197" s="8">
        <v>1010950640</v>
      </c>
      <c r="C197" s="36">
        <v>45074</v>
      </c>
      <c r="D197" s="19" t="s">
        <v>365</v>
      </c>
      <c r="E197" s="39" t="s">
        <v>35</v>
      </c>
      <c r="F197" s="19">
        <v>2022</v>
      </c>
      <c r="G197" s="37">
        <v>15000</v>
      </c>
      <c r="H197" s="20">
        <f t="shared" si="15"/>
        <v>2250</v>
      </c>
      <c r="I197" s="20">
        <f t="shared" ref="I197:I260" si="17">H197+G197</f>
        <v>17250</v>
      </c>
      <c r="J197" s="11">
        <f>8625+8625</f>
        <v>17250</v>
      </c>
      <c r="K197" s="21">
        <f t="shared" si="14"/>
        <v>0</v>
      </c>
      <c r="L197" s="1" t="s">
        <v>186</v>
      </c>
    </row>
    <row r="198" spans="1:12" ht="17.399999999999999" x14ac:dyDescent="0.35">
      <c r="A198" s="8" t="str">
        <f t="shared" si="16"/>
        <v>تجميع</v>
      </c>
      <c r="B198" s="8"/>
      <c r="C198" s="36">
        <v>45078</v>
      </c>
      <c r="D198" s="19" t="s">
        <v>366</v>
      </c>
      <c r="E198" s="39" t="s">
        <v>367</v>
      </c>
      <c r="F198" s="19" t="s">
        <v>368</v>
      </c>
      <c r="G198" s="11">
        <v>6000</v>
      </c>
      <c r="H198" s="20">
        <f t="shared" si="15"/>
        <v>900</v>
      </c>
      <c r="I198" s="20">
        <f t="shared" si="17"/>
        <v>6900</v>
      </c>
      <c r="J198" s="11">
        <v>6900</v>
      </c>
      <c r="K198" s="21">
        <f t="shared" si="14"/>
        <v>0</v>
      </c>
      <c r="L198" s="17" t="s">
        <v>22</v>
      </c>
    </row>
    <row r="199" spans="1:12" ht="17.399999999999999" x14ac:dyDescent="0.35">
      <c r="A199" s="8" t="str">
        <f t="shared" si="16"/>
        <v>11320075102022</v>
      </c>
      <c r="B199" s="8">
        <v>1132007510</v>
      </c>
      <c r="C199" s="36">
        <v>45124</v>
      </c>
      <c r="D199" s="19" t="s">
        <v>369</v>
      </c>
      <c r="E199" s="15" t="s">
        <v>256</v>
      </c>
      <c r="F199" s="19">
        <v>2022</v>
      </c>
      <c r="G199" s="11">
        <v>10500</v>
      </c>
      <c r="H199" s="20">
        <f t="shared" si="15"/>
        <v>1575</v>
      </c>
      <c r="I199" s="20">
        <f t="shared" si="17"/>
        <v>12075</v>
      </c>
      <c r="J199" s="11">
        <f>6037.5+6037.5</f>
        <v>12075</v>
      </c>
      <c r="K199" s="21">
        <f t="shared" si="14"/>
        <v>0</v>
      </c>
      <c r="L199" s="1" t="s">
        <v>171</v>
      </c>
    </row>
    <row r="200" spans="1:12" ht="17.399999999999999" x14ac:dyDescent="0.35">
      <c r="A200" s="8" t="str">
        <f t="shared" si="16"/>
        <v>2021-2022</v>
      </c>
      <c r="B200" s="8"/>
      <c r="C200" s="36">
        <v>45118</v>
      </c>
      <c r="D200" s="19" t="s">
        <v>370</v>
      </c>
      <c r="E200" s="15" t="s">
        <v>371</v>
      </c>
      <c r="F200" s="19" t="s">
        <v>372</v>
      </c>
      <c r="G200" s="11">
        <v>14000</v>
      </c>
      <c r="H200" s="20">
        <f t="shared" si="15"/>
        <v>2100</v>
      </c>
      <c r="I200" s="20">
        <f t="shared" si="17"/>
        <v>16100</v>
      </c>
      <c r="J200" s="11">
        <f>7000+9100</f>
        <v>16100</v>
      </c>
      <c r="K200" s="21">
        <f t="shared" si="14"/>
        <v>0</v>
      </c>
      <c r="L200" s="17" t="s">
        <v>22</v>
      </c>
    </row>
    <row r="201" spans="1:12" ht="17.399999999999999" x14ac:dyDescent="0.35">
      <c r="A201" s="8" t="str">
        <f t="shared" si="16"/>
        <v>تقرير</v>
      </c>
      <c r="B201" s="8"/>
      <c r="C201" s="36">
        <v>45123</v>
      </c>
      <c r="D201" s="19" t="s">
        <v>373</v>
      </c>
      <c r="E201" s="15" t="s">
        <v>374</v>
      </c>
      <c r="F201" s="19" t="s">
        <v>375</v>
      </c>
      <c r="G201" s="11">
        <v>8000</v>
      </c>
      <c r="H201" s="20">
        <f t="shared" si="15"/>
        <v>1200</v>
      </c>
      <c r="I201" s="20">
        <f t="shared" si="17"/>
        <v>9200</v>
      </c>
      <c r="J201" s="11">
        <v>8000</v>
      </c>
      <c r="K201" s="21">
        <f t="shared" si="14"/>
        <v>1200</v>
      </c>
      <c r="L201" s="1" t="s">
        <v>376</v>
      </c>
    </row>
    <row r="202" spans="1:12" ht="17.399999999999999" x14ac:dyDescent="0.35">
      <c r="A202" s="8" t="str">
        <f t="shared" si="16"/>
        <v>10101122822021</v>
      </c>
      <c r="B202" s="8">
        <v>1010112282</v>
      </c>
      <c r="C202" s="36">
        <v>45138</v>
      </c>
      <c r="D202" s="19" t="s">
        <v>377</v>
      </c>
      <c r="E202" s="15" t="s">
        <v>378</v>
      </c>
      <c r="F202" s="19">
        <v>2021</v>
      </c>
      <c r="G202" s="11">
        <v>10500</v>
      </c>
      <c r="H202" s="20">
        <f t="shared" si="15"/>
        <v>1575</v>
      </c>
      <c r="I202" s="20">
        <f t="shared" si="17"/>
        <v>12075</v>
      </c>
      <c r="J202" s="11">
        <f>6037+6037</f>
        <v>12074</v>
      </c>
      <c r="K202" s="21">
        <f t="shared" si="14"/>
        <v>1</v>
      </c>
      <c r="L202" s="1" t="s">
        <v>379</v>
      </c>
    </row>
    <row r="203" spans="1:12" ht="17.399999999999999" hidden="1" x14ac:dyDescent="0.35">
      <c r="A203" s="8" t="str">
        <f t="shared" si="16"/>
        <v>10101122822022</v>
      </c>
      <c r="B203" s="8">
        <v>1010112282</v>
      </c>
      <c r="C203" s="36">
        <v>45138</v>
      </c>
      <c r="D203" s="19" t="s">
        <v>380</v>
      </c>
      <c r="E203" s="15" t="s">
        <v>378</v>
      </c>
      <c r="F203" s="19">
        <v>2022</v>
      </c>
      <c r="G203" s="11">
        <v>10500</v>
      </c>
      <c r="H203" s="20">
        <f t="shared" si="15"/>
        <v>1575</v>
      </c>
      <c r="I203" s="20">
        <f t="shared" si="17"/>
        <v>12075</v>
      </c>
      <c r="J203" s="11"/>
      <c r="K203" s="21">
        <f t="shared" si="14"/>
        <v>12075</v>
      </c>
      <c r="L203" s="1" t="s">
        <v>15</v>
      </c>
    </row>
    <row r="204" spans="1:12" ht="17.399999999999999" x14ac:dyDescent="0.35">
      <c r="A204" s="8" t="str">
        <f t="shared" si="16"/>
        <v>11310583702022</v>
      </c>
      <c r="B204" s="8">
        <v>1131058370</v>
      </c>
      <c r="C204" s="36">
        <v>45139</v>
      </c>
      <c r="D204" s="19" t="s">
        <v>377</v>
      </c>
      <c r="E204" s="15" t="s">
        <v>31</v>
      </c>
      <c r="F204" s="19">
        <v>2022</v>
      </c>
      <c r="G204" s="11">
        <v>11500</v>
      </c>
      <c r="H204" s="20">
        <f t="shared" si="15"/>
        <v>1725</v>
      </c>
      <c r="I204" s="20">
        <f t="shared" si="17"/>
        <v>13225</v>
      </c>
      <c r="J204" s="11">
        <f>6612.5+6612.5</f>
        <v>13225</v>
      </c>
      <c r="K204" s="21">
        <f t="shared" si="14"/>
        <v>0</v>
      </c>
      <c r="L204" s="1" t="s">
        <v>27</v>
      </c>
    </row>
    <row r="205" spans="1:12" ht="17.399999999999999" x14ac:dyDescent="0.35">
      <c r="A205" s="8" t="str">
        <f t="shared" si="16"/>
        <v>10106456012022</v>
      </c>
      <c r="B205" s="8">
        <v>1010645601</v>
      </c>
      <c r="C205" s="36">
        <v>45144</v>
      </c>
      <c r="D205" s="19" t="s">
        <v>381</v>
      </c>
      <c r="E205" s="15" t="s">
        <v>152</v>
      </c>
      <c r="F205" s="19">
        <v>2022</v>
      </c>
      <c r="G205" s="11">
        <v>12000</v>
      </c>
      <c r="H205" s="20">
        <f t="shared" si="15"/>
        <v>1800</v>
      </c>
      <c r="I205" s="20">
        <f t="shared" si="17"/>
        <v>13800</v>
      </c>
      <c r="J205" s="11">
        <f>5000+7800</f>
        <v>12800</v>
      </c>
      <c r="K205" s="21">
        <f t="shared" si="14"/>
        <v>1000</v>
      </c>
      <c r="L205" s="1" t="s">
        <v>382</v>
      </c>
    </row>
    <row r="206" spans="1:12" ht="17.399999999999999" x14ac:dyDescent="0.35">
      <c r="A206" s="8" t="str">
        <f t="shared" si="16"/>
        <v>10101736622023</v>
      </c>
      <c r="B206" s="8">
        <v>1010173662</v>
      </c>
      <c r="C206" s="36">
        <v>45152</v>
      </c>
      <c r="D206" s="19" t="s">
        <v>383</v>
      </c>
      <c r="E206" s="15" t="s">
        <v>220</v>
      </c>
      <c r="F206" s="19">
        <v>2023</v>
      </c>
      <c r="G206" s="11">
        <v>30000</v>
      </c>
      <c r="H206" s="20">
        <f t="shared" si="15"/>
        <v>4500</v>
      </c>
      <c r="I206" s="20">
        <f t="shared" si="17"/>
        <v>34500</v>
      </c>
      <c r="J206" s="11">
        <f>17250+17250</f>
        <v>34500</v>
      </c>
      <c r="K206" s="21">
        <f t="shared" si="14"/>
        <v>0</v>
      </c>
      <c r="L206" s="1" t="s">
        <v>379</v>
      </c>
    </row>
    <row r="207" spans="1:12" ht="17.399999999999999" x14ac:dyDescent="0.35">
      <c r="A207" s="8" t="str">
        <f t="shared" si="16"/>
        <v>10101706572023</v>
      </c>
      <c r="B207" s="8">
        <v>1010170657</v>
      </c>
      <c r="C207" s="36">
        <v>45152</v>
      </c>
      <c r="D207" s="19" t="s">
        <v>384</v>
      </c>
      <c r="E207" s="39" t="s">
        <v>216</v>
      </c>
      <c r="F207" s="19">
        <v>2023</v>
      </c>
      <c r="G207" s="11">
        <v>55000</v>
      </c>
      <c r="H207" s="20">
        <f t="shared" si="15"/>
        <v>8250</v>
      </c>
      <c r="I207" s="20">
        <f t="shared" si="17"/>
        <v>63250</v>
      </c>
      <c r="J207" s="11">
        <f>31625+31625</f>
        <v>63250</v>
      </c>
      <c r="K207" s="21">
        <f t="shared" si="14"/>
        <v>0</v>
      </c>
      <c r="L207" s="1" t="s">
        <v>354</v>
      </c>
    </row>
    <row r="208" spans="1:12" ht="17.399999999999999" x14ac:dyDescent="0.35">
      <c r="A208" s="8" t="str">
        <f t="shared" si="16"/>
        <v>10102001832023</v>
      </c>
      <c r="B208" s="8">
        <v>1010200183</v>
      </c>
      <c r="C208" s="36">
        <v>45152</v>
      </c>
      <c r="D208" s="19" t="s">
        <v>385</v>
      </c>
      <c r="E208" s="15" t="s">
        <v>218</v>
      </c>
      <c r="F208" s="19">
        <v>2023</v>
      </c>
      <c r="G208" s="11">
        <v>30000</v>
      </c>
      <c r="H208" s="20">
        <f t="shared" si="15"/>
        <v>4500</v>
      </c>
      <c r="I208" s="20">
        <f t="shared" si="17"/>
        <v>34500</v>
      </c>
      <c r="J208" s="11">
        <f>17250+17250</f>
        <v>34500</v>
      </c>
      <c r="K208" s="21">
        <f t="shared" si="14"/>
        <v>0</v>
      </c>
      <c r="L208" s="1" t="s">
        <v>205</v>
      </c>
    </row>
    <row r="209" spans="1:12" ht="17.399999999999999" x14ac:dyDescent="0.35">
      <c r="A209" s="8" t="str">
        <f t="shared" si="16"/>
        <v>11130039312022</v>
      </c>
      <c r="B209" s="8">
        <v>1113003931</v>
      </c>
      <c r="C209" s="36">
        <v>45186</v>
      </c>
      <c r="D209" s="19" t="s">
        <v>386</v>
      </c>
      <c r="E209" s="32" t="s">
        <v>387</v>
      </c>
      <c r="F209" s="19">
        <v>2022</v>
      </c>
      <c r="G209" s="11">
        <f>7000/1.15</f>
        <v>6086.9565217391309</v>
      </c>
      <c r="H209" s="20">
        <f t="shared" si="15"/>
        <v>913.04347826086962</v>
      </c>
      <c r="I209" s="20">
        <f t="shared" si="17"/>
        <v>7000.0000000000009</v>
      </c>
      <c r="J209" s="11">
        <f>7000</f>
        <v>7000</v>
      </c>
      <c r="K209" s="21">
        <f t="shared" si="14"/>
        <v>0</v>
      </c>
      <c r="L209" s="1" t="s">
        <v>117</v>
      </c>
    </row>
    <row r="210" spans="1:12" ht="17.399999999999999" x14ac:dyDescent="0.35">
      <c r="A210" s="8" t="str">
        <f t="shared" si="16"/>
        <v>40305066022023</v>
      </c>
      <c r="B210" s="8">
        <v>4030506602</v>
      </c>
      <c r="C210" s="36">
        <v>45209</v>
      </c>
      <c r="D210" s="19" t="s">
        <v>388</v>
      </c>
      <c r="E210" s="40" t="s">
        <v>389</v>
      </c>
      <c r="F210" s="19">
        <v>2023</v>
      </c>
      <c r="G210" s="11">
        <v>15000</v>
      </c>
      <c r="H210" s="20">
        <f t="shared" si="15"/>
        <v>2250</v>
      </c>
      <c r="I210" s="20">
        <f t="shared" si="17"/>
        <v>17250</v>
      </c>
      <c r="J210" s="11">
        <f>8625+8625</f>
        <v>17250</v>
      </c>
      <c r="K210" s="21">
        <f t="shared" si="14"/>
        <v>0</v>
      </c>
      <c r="L210" s="1" t="s">
        <v>117</v>
      </c>
    </row>
    <row r="211" spans="1:12" ht="17.399999999999999" x14ac:dyDescent="0.35">
      <c r="A211" s="8" t="str">
        <f t="shared" si="16"/>
        <v>10106372712022</v>
      </c>
      <c r="B211" s="8">
        <v>1010637271</v>
      </c>
      <c r="C211" s="36">
        <v>45239</v>
      </c>
      <c r="D211" s="19" t="s">
        <v>390</v>
      </c>
      <c r="E211" s="15" t="s">
        <v>212</v>
      </c>
      <c r="F211" s="19">
        <v>2022</v>
      </c>
      <c r="G211" s="11">
        <v>11000</v>
      </c>
      <c r="H211" s="20">
        <f t="shared" si="15"/>
        <v>1650</v>
      </c>
      <c r="I211" s="20">
        <f t="shared" si="17"/>
        <v>12650</v>
      </c>
      <c r="J211" s="11">
        <f>6325+6325</f>
        <v>12650</v>
      </c>
      <c r="K211" s="21">
        <f t="shared" ref="K211:K225" si="18">I211-J211</f>
        <v>0</v>
      </c>
      <c r="L211" s="1" t="s">
        <v>204</v>
      </c>
    </row>
    <row r="212" spans="1:12" ht="17.399999999999999" x14ac:dyDescent="0.35">
      <c r="A212" s="8" t="str">
        <f t="shared" si="16"/>
        <v>10107622092022</v>
      </c>
      <c r="B212" s="8">
        <v>1010762209</v>
      </c>
      <c r="C212" s="36">
        <v>45243</v>
      </c>
      <c r="D212" s="19" t="s">
        <v>391</v>
      </c>
      <c r="E212" s="15" t="s">
        <v>392</v>
      </c>
      <c r="F212" s="19">
        <v>2022</v>
      </c>
      <c r="G212" s="11">
        <f>10000/1.15</f>
        <v>8695.652173913044</v>
      </c>
      <c r="H212" s="20">
        <f t="shared" si="15"/>
        <v>1304.3478260869565</v>
      </c>
      <c r="I212" s="20">
        <f t="shared" si="17"/>
        <v>10000</v>
      </c>
      <c r="J212" s="11">
        <f>5750+4250</f>
        <v>10000</v>
      </c>
      <c r="K212" s="21">
        <f t="shared" si="18"/>
        <v>0</v>
      </c>
      <c r="L212" s="1" t="s">
        <v>171</v>
      </c>
    </row>
    <row r="213" spans="1:12" ht="17.399999999999999" x14ac:dyDescent="0.35">
      <c r="A213" s="8" t="str">
        <f t="shared" si="16"/>
        <v>10102265972023</v>
      </c>
      <c r="B213" s="8">
        <v>1010226597</v>
      </c>
      <c r="C213" s="36">
        <v>45243</v>
      </c>
      <c r="D213" s="19" t="s">
        <v>393</v>
      </c>
      <c r="E213" s="32" t="s">
        <v>394</v>
      </c>
      <c r="F213" s="19">
        <v>2023</v>
      </c>
      <c r="G213" s="11">
        <v>10000</v>
      </c>
      <c r="H213" s="20">
        <f t="shared" si="15"/>
        <v>1500</v>
      </c>
      <c r="I213" s="20">
        <f t="shared" si="17"/>
        <v>11500</v>
      </c>
      <c r="J213" s="11">
        <f>5750+5750</f>
        <v>11500</v>
      </c>
      <c r="K213" s="21">
        <f t="shared" si="18"/>
        <v>0</v>
      </c>
      <c r="L213" s="1" t="s">
        <v>117</v>
      </c>
    </row>
    <row r="214" spans="1:12" ht="17.399999999999999" x14ac:dyDescent="0.35">
      <c r="A214" s="8" t="str">
        <f t="shared" si="16"/>
        <v>10102301472023</v>
      </c>
      <c r="B214" s="8">
        <v>1010230147</v>
      </c>
      <c r="C214" s="36">
        <v>45243</v>
      </c>
      <c r="D214" s="19" t="s">
        <v>395</v>
      </c>
      <c r="E214" s="32" t="s">
        <v>396</v>
      </c>
      <c r="F214" s="19">
        <v>2023</v>
      </c>
      <c r="G214" s="11">
        <v>10000</v>
      </c>
      <c r="H214" s="20">
        <f t="shared" si="15"/>
        <v>1500</v>
      </c>
      <c r="I214" s="20">
        <f t="shared" si="17"/>
        <v>11500</v>
      </c>
      <c r="J214" s="11">
        <f>5750+5750</f>
        <v>11500</v>
      </c>
      <c r="K214" s="21">
        <f t="shared" si="18"/>
        <v>0</v>
      </c>
      <c r="L214" s="1" t="s">
        <v>117</v>
      </c>
    </row>
    <row r="215" spans="1:12" ht="17.399999999999999" x14ac:dyDescent="0.35">
      <c r="A215" s="8" t="str">
        <f t="shared" si="16"/>
        <v>10103403552023</v>
      </c>
      <c r="B215" s="8">
        <v>1010340355</v>
      </c>
      <c r="C215" s="36">
        <v>45243</v>
      </c>
      <c r="D215" s="19" t="s">
        <v>397</v>
      </c>
      <c r="E215" s="32" t="s">
        <v>398</v>
      </c>
      <c r="F215" s="19">
        <v>2023</v>
      </c>
      <c r="G215" s="11">
        <v>15000</v>
      </c>
      <c r="H215" s="20">
        <f t="shared" si="15"/>
        <v>2250</v>
      </c>
      <c r="I215" s="20">
        <f t="shared" si="17"/>
        <v>17250</v>
      </c>
      <c r="J215" s="11">
        <f>8625+8625</f>
        <v>17250</v>
      </c>
      <c r="K215" s="21">
        <f t="shared" si="18"/>
        <v>0</v>
      </c>
      <c r="L215" s="1" t="s">
        <v>117</v>
      </c>
    </row>
    <row r="216" spans="1:12" ht="17.399999999999999" x14ac:dyDescent="0.35">
      <c r="A216" s="8" t="str">
        <f t="shared" si="16"/>
        <v>10106512591444</v>
      </c>
      <c r="B216" s="8">
        <v>1010651259</v>
      </c>
      <c r="C216" s="36">
        <v>45250</v>
      </c>
      <c r="D216" s="19" t="s">
        <v>399</v>
      </c>
      <c r="E216" s="15" t="s">
        <v>400</v>
      </c>
      <c r="F216" s="19">
        <v>1444</v>
      </c>
      <c r="G216" s="11">
        <v>6000</v>
      </c>
      <c r="H216" s="20">
        <f t="shared" si="15"/>
        <v>900</v>
      </c>
      <c r="I216" s="20">
        <f t="shared" si="17"/>
        <v>6900</v>
      </c>
      <c r="J216" s="11">
        <f>3000+3900</f>
        <v>6900</v>
      </c>
      <c r="K216" s="21">
        <f t="shared" si="18"/>
        <v>0</v>
      </c>
      <c r="L216" s="1" t="s">
        <v>171</v>
      </c>
    </row>
    <row r="217" spans="1:12" ht="17.399999999999999" hidden="1" x14ac:dyDescent="0.35">
      <c r="A217" s="8" t="str">
        <f t="shared" si="16"/>
        <v>10107622092023</v>
      </c>
      <c r="B217" s="8">
        <v>1010762209</v>
      </c>
      <c r="C217" s="36">
        <v>45263</v>
      </c>
      <c r="D217" s="19" t="s">
        <v>401</v>
      </c>
      <c r="E217" s="15" t="s">
        <v>392</v>
      </c>
      <c r="F217" s="19">
        <v>2023</v>
      </c>
      <c r="G217" s="11">
        <v>10000</v>
      </c>
      <c r="H217" s="20">
        <f t="shared" si="15"/>
        <v>1500</v>
      </c>
      <c r="I217" s="20">
        <f t="shared" si="17"/>
        <v>11500</v>
      </c>
      <c r="J217" s="11"/>
      <c r="K217" s="21">
        <f t="shared" si="18"/>
        <v>11500</v>
      </c>
      <c r="L217" s="1" t="s">
        <v>15</v>
      </c>
    </row>
    <row r="218" spans="1:12" ht="17.399999999999999" x14ac:dyDescent="0.35">
      <c r="A218" s="8" t="str">
        <f t="shared" si="16"/>
        <v>10102221652023</v>
      </c>
      <c r="B218" s="8">
        <v>1010222165</v>
      </c>
      <c r="C218" s="36">
        <v>45266</v>
      </c>
      <c r="D218" s="19" t="s">
        <v>402</v>
      </c>
      <c r="E218" s="15" t="s">
        <v>78</v>
      </c>
      <c r="F218" s="19">
        <v>2023</v>
      </c>
      <c r="G218" s="11">
        <v>20000</v>
      </c>
      <c r="H218" s="20">
        <f t="shared" ref="H218:H281" si="19">G218*0.15</f>
        <v>3000</v>
      </c>
      <c r="I218" s="20">
        <f t="shared" si="17"/>
        <v>23000</v>
      </c>
      <c r="J218" s="11">
        <f>11500+11500</f>
        <v>23000</v>
      </c>
      <c r="K218" s="21">
        <f t="shared" si="18"/>
        <v>0</v>
      </c>
      <c r="L218" s="1" t="s">
        <v>114</v>
      </c>
    </row>
    <row r="219" spans="1:12" ht="17.399999999999999" x14ac:dyDescent="0.35">
      <c r="A219" s="8" t="str">
        <f t="shared" si="16"/>
        <v>11313138432022</v>
      </c>
      <c r="B219" s="8">
        <v>1131313843</v>
      </c>
      <c r="C219" s="36">
        <v>45272</v>
      </c>
      <c r="D219" s="19" t="s">
        <v>403</v>
      </c>
      <c r="E219" s="15" t="s">
        <v>404</v>
      </c>
      <c r="F219" s="19">
        <v>2022</v>
      </c>
      <c r="G219" s="11">
        <v>11500</v>
      </c>
      <c r="H219" s="20">
        <f t="shared" si="19"/>
        <v>1725</v>
      </c>
      <c r="I219" s="20">
        <f t="shared" si="17"/>
        <v>13225</v>
      </c>
      <c r="J219" s="11">
        <f>6612.5+6612.5</f>
        <v>13225</v>
      </c>
      <c r="K219" s="21">
        <f t="shared" si="18"/>
        <v>0</v>
      </c>
      <c r="L219" s="1" t="s">
        <v>379</v>
      </c>
    </row>
    <row r="220" spans="1:12" ht="17.399999999999999" x14ac:dyDescent="0.35">
      <c r="A220" s="8" t="str">
        <f t="shared" si="16"/>
        <v>40301738022023</v>
      </c>
      <c r="B220" s="8">
        <v>4030173802</v>
      </c>
      <c r="C220" s="36">
        <v>45278</v>
      </c>
      <c r="D220" s="19" t="s">
        <v>405</v>
      </c>
      <c r="E220" s="32" t="s">
        <v>406</v>
      </c>
      <c r="F220" s="19">
        <v>2023</v>
      </c>
      <c r="G220" s="11">
        <v>35000</v>
      </c>
      <c r="H220" s="20">
        <f t="shared" si="19"/>
        <v>5250</v>
      </c>
      <c r="I220" s="20">
        <f t="shared" si="17"/>
        <v>40250</v>
      </c>
      <c r="J220" s="11">
        <f>20125+20125</f>
        <v>40250</v>
      </c>
      <c r="K220" s="21">
        <f t="shared" si="18"/>
        <v>0</v>
      </c>
      <c r="L220" s="1" t="s">
        <v>117</v>
      </c>
    </row>
    <row r="221" spans="1:12" ht="17.399999999999999" x14ac:dyDescent="0.35">
      <c r="A221" s="8" t="str">
        <f t="shared" si="16"/>
        <v>10104395182023</v>
      </c>
      <c r="B221" s="8">
        <v>1010439518</v>
      </c>
      <c r="C221" s="36">
        <v>45278</v>
      </c>
      <c r="D221" s="19" t="s">
        <v>407</v>
      </c>
      <c r="E221" s="15" t="s">
        <v>52</v>
      </c>
      <c r="F221" s="19">
        <v>2023</v>
      </c>
      <c r="G221" s="11">
        <v>25000</v>
      </c>
      <c r="H221" s="20">
        <f t="shared" si="19"/>
        <v>3750</v>
      </c>
      <c r="I221" s="20">
        <f t="shared" si="17"/>
        <v>28750</v>
      </c>
      <c r="J221" s="11">
        <f>14375+14375</f>
        <v>28750</v>
      </c>
      <c r="K221" s="21">
        <f t="shared" si="18"/>
        <v>0</v>
      </c>
      <c r="L221" s="1" t="s">
        <v>37</v>
      </c>
    </row>
    <row r="222" spans="1:12" s="47" customFormat="1" ht="17.399999999999999" x14ac:dyDescent="0.35">
      <c r="A222" s="41" t="str">
        <f t="shared" si="16"/>
        <v>10107382952022</v>
      </c>
      <c r="B222" s="41">
        <v>1010738295</v>
      </c>
      <c r="C222" s="42">
        <v>45315</v>
      </c>
      <c r="D222" s="41" t="s">
        <v>408</v>
      </c>
      <c r="E222" s="43" t="s">
        <v>409</v>
      </c>
      <c r="F222" s="19">
        <v>2022</v>
      </c>
      <c r="G222" s="44">
        <f>6500/1.15</f>
        <v>5652.1739130434789</v>
      </c>
      <c r="H222" s="44">
        <f t="shared" si="19"/>
        <v>847.82608695652186</v>
      </c>
      <c r="I222" s="44">
        <f t="shared" si="17"/>
        <v>6500.0000000000009</v>
      </c>
      <c r="J222" s="44">
        <f>6500</f>
        <v>6500</v>
      </c>
      <c r="K222" s="45">
        <f t="shared" si="18"/>
        <v>0</v>
      </c>
      <c r="L222" s="46" t="s">
        <v>114</v>
      </c>
    </row>
    <row r="223" spans="1:12" s="47" customFormat="1" ht="16.8" customHeight="1" x14ac:dyDescent="0.35">
      <c r="A223" s="41" t="str">
        <f t="shared" si="16"/>
        <v>10105932722023</v>
      </c>
      <c r="B223" s="41">
        <v>1010593272</v>
      </c>
      <c r="C223" s="42">
        <v>45284</v>
      </c>
      <c r="D223" s="41" t="s">
        <v>410</v>
      </c>
      <c r="E223" s="43" t="s">
        <v>289</v>
      </c>
      <c r="F223" s="19">
        <v>2023</v>
      </c>
      <c r="G223" s="44">
        <v>10000</v>
      </c>
      <c r="H223" s="44">
        <f t="shared" si="19"/>
        <v>1500</v>
      </c>
      <c r="I223" s="44">
        <f t="shared" si="17"/>
        <v>11500</v>
      </c>
      <c r="J223" s="44">
        <f>5750+5750</f>
        <v>11500</v>
      </c>
      <c r="K223" s="45">
        <f t="shared" si="18"/>
        <v>0</v>
      </c>
      <c r="L223" s="46" t="s">
        <v>117</v>
      </c>
    </row>
    <row r="224" spans="1:12" ht="17.399999999999999" x14ac:dyDescent="0.35">
      <c r="A224" s="8" t="str">
        <f t="shared" si="16"/>
        <v>10102641112023</v>
      </c>
      <c r="B224" s="8">
        <v>1010264111</v>
      </c>
      <c r="C224" s="36">
        <v>45284</v>
      </c>
      <c r="D224" s="19" t="s">
        <v>411</v>
      </c>
      <c r="E224" s="15" t="s">
        <v>246</v>
      </c>
      <c r="F224" s="19">
        <v>2023</v>
      </c>
      <c r="G224" s="11">
        <v>15000</v>
      </c>
      <c r="H224" s="20">
        <f t="shared" si="19"/>
        <v>2250</v>
      </c>
      <c r="I224" s="20">
        <f t="shared" si="17"/>
        <v>17250</v>
      </c>
      <c r="J224" s="11">
        <f>8625+8625</f>
        <v>17250</v>
      </c>
      <c r="K224" s="21">
        <f t="shared" si="18"/>
        <v>0</v>
      </c>
      <c r="L224" s="1" t="s">
        <v>117</v>
      </c>
    </row>
    <row r="225" spans="1:12" ht="17.399999999999999" x14ac:dyDescent="0.35">
      <c r="A225" s="8" t="str">
        <f t="shared" si="16"/>
        <v>10106842732023</v>
      </c>
      <c r="B225" s="8">
        <v>1010684273</v>
      </c>
      <c r="C225" s="36">
        <v>45291</v>
      </c>
      <c r="D225" s="19" t="s">
        <v>412</v>
      </c>
      <c r="E225" s="15" t="s">
        <v>250</v>
      </c>
      <c r="F225" s="19">
        <v>2023</v>
      </c>
      <c r="G225" s="11">
        <v>10000</v>
      </c>
      <c r="H225" s="20">
        <f t="shared" si="19"/>
        <v>1500</v>
      </c>
      <c r="I225" s="20">
        <f t="shared" si="17"/>
        <v>11500</v>
      </c>
      <c r="J225" s="11">
        <f>5750+5750</f>
        <v>11500</v>
      </c>
      <c r="K225" s="21">
        <f t="shared" si="18"/>
        <v>0</v>
      </c>
      <c r="L225" s="1" t="s">
        <v>114</v>
      </c>
    </row>
    <row r="226" spans="1:12" s="47" customFormat="1" ht="17.399999999999999" x14ac:dyDescent="0.35">
      <c r="A226" s="41" t="str">
        <f t="shared" si="16"/>
        <v>10109343492023</v>
      </c>
      <c r="B226" s="41">
        <v>1010934349</v>
      </c>
      <c r="C226" s="42">
        <v>45291</v>
      </c>
      <c r="D226" s="41" t="s">
        <v>413</v>
      </c>
      <c r="E226" s="43" t="s">
        <v>414</v>
      </c>
      <c r="F226" s="19">
        <v>2023</v>
      </c>
      <c r="G226" s="44">
        <v>12500</v>
      </c>
      <c r="H226" s="44">
        <f t="shared" si="19"/>
        <v>1875</v>
      </c>
      <c r="I226" s="44">
        <f t="shared" si="17"/>
        <v>14375</v>
      </c>
      <c r="J226" s="44">
        <f>7187.5+7187.5</f>
        <v>14375</v>
      </c>
      <c r="K226" s="45">
        <f>I226-J226</f>
        <v>0</v>
      </c>
      <c r="L226" s="46" t="s">
        <v>37</v>
      </c>
    </row>
    <row r="227" spans="1:12" ht="17.399999999999999" x14ac:dyDescent="0.35">
      <c r="A227" s="8" t="str">
        <f t="shared" si="16"/>
        <v>10106856782023</v>
      </c>
      <c r="B227" s="8">
        <v>1010685678</v>
      </c>
      <c r="C227" s="36">
        <v>45293</v>
      </c>
      <c r="D227" s="19" t="s">
        <v>415</v>
      </c>
      <c r="E227" s="39" t="s">
        <v>295</v>
      </c>
      <c r="F227" s="19">
        <v>2023</v>
      </c>
      <c r="G227" s="11">
        <v>16000</v>
      </c>
      <c r="H227" s="20">
        <f t="shared" si="19"/>
        <v>2400</v>
      </c>
      <c r="I227" s="20">
        <f t="shared" si="17"/>
        <v>18400</v>
      </c>
      <c r="J227" s="11">
        <f>9200+9200</f>
        <v>18400</v>
      </c>
      <c r="K227" s="21">
        <f t="shared" ref="K227:K352" si="20">I227-J227</f>
        <v>0</v>
      </c>
      <c r="L227" s="1" t="s">
        <v>354</v>
      </c>
    </row>
    <row r="228" spans="1:12" ht="17.399999999999999" x14ac:dyDescent="0.35">
      <c r="A228" s="8" t="str">
        <f t="shared" si="16"/>
        <v>10107070862023</v>
      </c>
      <c r="B228" s="8">
        <v>1010707086</v>
      </c>
      <c r="C228" s="36">
        <v>45293</v>
      </c>
      <c r="D228" s="19" t="s">
        <v>416</v>
      </c>
      <c r="E228" s="15" t="s">
        <v>293</v>
      </c>
      <c r="F228" s="19">
        <v>2023</v>
      </c>
      <c r="G228" s="11">
        <v>16000</v>
      </c>
      <c r="H228" s="20">
        <f t="shared" si="19"/>
        <v>2400</v>
      </c>
      <c r="I228" s="20">
        <f t="shared" si="17"/>
        <v>18400</v>
      </c>
      <c r="J228" s="11">
        <f t="shared" ref="J228:J233" si="21">9200+9200</f>
        <v>18400</v>
      </c>
      <c r="K228" s="21">
        <f t="shared" si="20"/>
        <v>0</v>
      </c>
      <c r="L228" s="1" t="s">
        <v>379</v>
      </c>
    </row>
    <row r="229" spans="1:12" ht="17.399999999999999" x14ac:dyDescent="0.35">
      <c r="A229" s="8" t="str">
        <f t="shared" si="16"/>
        <v>10106982882023</v>
      </c>
      <c r="B229" s="8">
        <v>1010698288</v>
      </c>
      <c r="C229" s="36">
        <v>45293</v>
      </c>
      <c r="D229" s="19" t="s">
        <v>417</v>
      </c>
      <c r="E229" s="15" t="s">
        <v>418</v>
      </c>
      <c r="F229" s="19">
        <v>2023</v>
      </c>
      <c r="G229" s="11">
        <v>16000</v>
      </c>
      <c r="H229" s="20">
        <f t="shared" si="19"/>
        <v>2400</v>
      </c>
      <c r="I229" s="20">
        <f t="shared" si="17"/>
        <v>18400</v>
      </c>
      <c r="J229" s="11">
        <f t="shared" si="21"/>
        <v>18400</v>
      </c>
      <c r="K229" s="21">
        <f t="shared" si="20"/>
        <v>0</v>
      </c>
      <c r="L229" s="1" t="s">
        <v>149</v>
      </c>
    </row>
    <row r="230" spans="1:12" ht="17.399999999999999" x14ac:dyDescent="0.35">
      <c r="A230" s="8" t="str">
        <f t="shared" si="16"/>
        <v>10107253632023</v>
      </c>
      <c r="B230" s="8">
        <v>1010725363</v>
      </c>
      <c r="C230" s="36">
        <v>45293</v>
      </c>
      <c r="D230" s="19" t="s">
        <v>419</v>
      </c>
      <c r="E230" s="15" t="s">
        <v>297</v>
      </c>
      <c r="F230" s="19">
        <v>2023</v>
      </c>
      <c r="G230" s="11">
        <v>16000</v>
      </c>
      <c r="H230" s="20">
        <f t="shared" si="19"/>
        <v>2400</v>
      </c>
      <c r="I230" s="20">
        <f t="shared" si="17"/>
        <v>18400</v>
      </c>
      <c r="J230" s="11">
        <f t="shared" si="21"/>
        <v>18400</v>
      </c>
      <c r="K230" s="21">
        <f t="shared" si="20"/>
        <v>0</v>
      </c>
      <c r="L230" s="1" t="s">
        <v>149</v>
      </c>
    </row>
    <row r="231" spans="1:12" ht="17.399999999999999" x14ac:dyDescent="0.35">
      <c r="A231" s="8" t="str">
        <f t="shared" si="16"/>
        <v>10107799172023</v>
      </c>
      <c r="B231" s="8">
        <v>1010779917</v>
      </c>
      <c r="C231" s="36">
        <v>45293</v>
      </c>
      <c r="D231" s="19" t="s">
        <v>420</v>
      </c>
      <c r="E231" s="15" t="s">
        <v>317</v>
      </c>
      <c r="F231" s="19">
        <v>2023</v>
      </c>
      <c r="G231" s="11">
        <v>16000</v>
      </c>
      <c r="H231" s="20">
        <f t="shared" si="19"/>
        <v>2400</v>
      </c>
      <c r="I231" s="20">
        <f t="shared" si="17"/>
        <v>18400</v>
      </c>
      <c r="J231" s="11">
        <f t="shared" si="21"/>
        <v>18400</v>
      </c>
      <c r="K231" s="21">
        <f t="shared" si="20"/>
        <v>0</v>
      </c>
      <c r="L231" s="1" t="s">
        <v>149</v>
      </c>
    </row>
    <row r="232" spans="1:12" ht="17.399999999999999" x14ac:dyDescent="0.35">
      <c r="A232" s="8" t="str">
        <f t="shared" si="16"/>
        <v>10107999142023</v>
      </c>
      <c r="B232" s="8">
        <v>1010799914</v>
      </c>
      <c r="C232" s="36">
        <v>45293</v>
      </c>
      <c r="D232" s="19" t="s">
        <v>421</v>
      </c>
      <c r="E232" s="15" t="s">
        <v>315</v>
      </c>
      <c r="F232" s="19">
        <v>2023</v>
      </c>
      <c r="G232" s="11">
        <v>16000</v>
      </c>
      <c r="H232" s="20">
        <f t="shared" si="19"/>
        <v>2400</v>
      </c>
      <c r="I232" s="20">
        <f t="shared" si="17"/>
        <v>18400</v>
      </c>
      <c r="J232" s="11">
        <f t="shared" si="21"/>
        <v>18400</v>
      </c>
      <c r="K232" s="21">
        <f t="shared" si="20"/>
        <v>0</v>
      </c>
      <c r="L232" s="1" t="s">
        <v>149</v>
      </c>
    </row>
    <row r="233" spans="1:12" ht="17.399999999999999" x14ac:dyDescent="0.35">
      <c r="A233" s="8" t="str">
        <f t="shared" si="16"/>
        <v>10107921202023</v>
      </c>
      <c r="B233" s="8">
        <v>1010792120</v>
      </c>
      <c r="C233" s="36">
        <v>45293</v>
      </c>
      <c r="D233" s="19" t="s">
        <v>422</v>
      </c>
      <c r="E233" s="39" t="s">
        <v>313</v>
      </c>
      <c r="F233" s="19">
        <v>2023</v>
      </c>
      <c r="G233" s="11">
        <v>16000</v>
      </c>
      <c r="H233" s="20">
        <f t="shared" si="19"/>
        <v>2400</v>
      </c>
      <c r="I233" s="20">
        <f t="shared" si="17"/>
        <v>18400</v>
      </c>
      <c r="J233" s="11">
        <f t="shared" si="21"/>
        <v>18400</v>
      </c>
      <c r="K233" s="21">
        <f t="shared" si="20"/>
        <v>0</v>
      </c>
      <c r="L233" s="1" t="s">
        <v>354</v>
      </c>
    </row>
    <row r="234" spans="1:12" ht="17.399999999999999" x14ac:dyDescent="0.35">
      <c r="A234" s="8" t="str">
        <f t="shared" si="16"/>
        <v>10107954012023</v>
      </c>
      <c r="B234" s="8">
        <v>1010795401</v>
      </c>
      <c r="C234" s="36">
        <v>45293</v>
      </c>
      <c r="D234" s="19" t="s">
        <v>423</v>
      </c>
      <c r="E234" s="15" t="s">
        <v>307</v>
      </c>
      <c r="F234" s="19">
        <v>2023</v>
      </c>
      <c r="G234" s="11">
        <v>14000</v>
      </c>
      <c r="H234" s="20">
        <f t="shared" si="19"/>
        <v>2100</v>
      </c>
      <c r="I234" s="20">
        <f t="shared" si="17"/>
        <v>16100</v>
      </c>
      <c r="J234" s="11">
        <f>8050+8050</f>
        <v>16100</v>
      </c>
      <c r="K234" s="21">
        <f t="shared" si="20"/>
        <v>0</v>
      </c>
      <c r="L234" s="1" t="s">
        <v>149</v>
      </c>
    </row>
    <row r="235" spans="1:12" ht="17.399999999999999" x14ac:dyDescent="0.35">
      <c r="A235" s="8" t="str">
        <f t="shared" si="16"/>
        <v>10108111572023</v>
      </c>
      <c r="B235" s="8">
        <v>1010811157</v>
      </c>
      <c r="C235" s="36">
        <v>45293</v>
      </c>
      <c r="D235" s="19" t="s">
        <v>424</v>
      </c>
      <c r="E235" s="15" t="s">
        <v>309</v>
      </c>
      <c r="F235" s="19">
        <v>2023</v>
      </c>
      <c r="G235" s="11">
        <v>16000</v>
      </c>
      <c r="H235" s="20">
        <f t="shared" si="19"/>
        <v>2400</v>
      </c>
      <c r="I235" s="20">
        <f t="shared" si="17"/>
        <v>18400</v>
      </c>
      <c r="J235" s="11">
        <f>9200+9200</f>
        <v>18400</v>
      </c>
      <c r="K235" s="21">
        <f t="shared" si="20"/>
        <v>0</v>
      </c>
      <c r="L235" s="1" t="s">
        <v>149</v>
      </c>
    </row>
    <row r="236" spans="1:12" ht="17.399999999999999" x14ac:dyDescent="0.35">
      <c r="A236" s="8" t="str">
        <f t="shared" si="16"/>
        <v>40304810042023</v>
      </c>
      <c r="B236" s="8">
        <v>4030481004</v>
      </c>
      <c r="C236" s="36">
        <v>45293</v>
      </c>
      <c r="D236" s="19" t="s">
        <v>425</v>
      </c>
      <c r="E236" s="15" t="s">
        <v>426</v>
      </c>
      <c r="F236" s="19">
        <v>2023</v>
      </c>
      <c r="G236" s="11">
        <v>14000</v>
      </c>
      <c r="H236" s="20">
        <f t="shared" si="19"/>
        <v>2100</v>
      </c>
      <c r="I236" s="20">
        <f t="shared" si="17"/>
        <v>16100</v>
      </c>
      <c r="J236" s="11">
        <f>8050+8050</f>
        <v>16100</v>
      </c>
      <c r="K236" s="21">
        <f t="shared" si="20"/>
        <v>0</v>
      </c>
      <c r="L236" s="1" t="s">
        <v>149</v>
      </c>
    </row>
    <row r="237" spans="1:12" ht="17.399999999999999" x14ac:dyDescent="0.35">
      <c r="A237" s="8" t="str">
        <f t="shared" si="16"/>
        <v>10108309072023</v>
      </c>
      <c r="B237" s="8">
        <v>1010830907</v>
      </c>
      <c r="C237" s="36">
        <v>45293</v>
      </c>
      <c r="D237" s="19" t="s">
        <v>427</v>
      </c>
      <c r="E237" s="15" t="s">
        <v>428</v>
      </c>
      <c r="F237" s="19">
        <v>2023</v>
      </c>
      <c r="G237" s="11">
        <v>14000</v>
      </c>
      <c r="H237" s="20">
        <f t="shared" si="19"/>
        <v>2100</v>
      </c>
      <c r="I237" s="20">
        <f t="shared" si="17"/>
        <v>16100</v>
      </c>
      <c r="J237" s="11">
        <f>8050+8050</f>
        <v>16100</v>
      </c>
      <c r="K237" s="21">
        <f t="shared" si="20"/>
        <v>0</v>
      </c>
      <c r="L237" s="1" t="s">
        <v>149</v>
      </c>
    </row>
    <row r="238" spans="1:12" ht="17.399999999999999" x14ac:dyDescent="0.35">
      <c r="A238" s="8" t="str">
        <f t="shared" si="16"/>
        <v>10108579572023</v>
      </c>
      <c r="B238" s="8">
        <v>1010857957</v>
      </c>
      <c r="C238" s="36">
        <v>45293</v>
      </c>
      <c r="D238" s="19" t="s">
        <v>429</v>
      </c>
      <c r="E238" s="15" t="s">
        <v>430</v>
      </c>
      <c r="F238" s="19">
        <v>2023</v>
      </c>
      <c r="G238" s="11">
        <v>14000</v>
      </c>
      <c r="H238" s="20">
        <f t="shared" si="19"/>
        <v>2100</v>
      </c>
      <c r="I238" s="20">
        <f t="shared" si="17"/>
        <v>16100</v>
      </c>
      <c r="J238" s="11">
        <f>8050+8050</f>
        <v>16100</v>
      </c>
      <c r="K238" s="21">
        <f t="shared" si="20"/>
        <v>0</v>
      </c>
      <c r="L238" s="1" t="s">
        <v>149</v>
      </c>
    </row>
    <row r="239" spans="1:12" ht="17.399999999999999" x14ac:dyDescent="0.35">
      <c r="A239" s="8" t="str">
        <f t="shared" si="16"/>
        <v>10103729192023</v>
      </c>
      <c r="B239" s="8">
        <v>1010372919</v>
      </c>
      <c r="C239" s="36">
        <v>45294</v>
      </c>
      <c r="D239" s="19" t="s">
        <v>431</v>
      </c>
      <c r="E239" s="15" t="s">
        <v>364</v>
      </c>
      <c r="F239" s="19">
        <v>2023</v>
      </c>
      <c r="G239" s="11">
        <v>13500</v>
      </c>
      <c r="H239" s="20">
        <f t="shared" si="19"/>
        <v>2025</v>
      </c>
      <c r="I239" s="20">
        <f t="shared" si="17"/>
        <v>15525</v>
      </c>
      <c r="J239" s="11">
        <f>7762.5+7762.5</f>
        <v>15525</v>
      </c>
      <c r="K239" s="21">
        <f t="shared" si="20"/>
        <v>0</v>
      </c>
      <c r="L239" s="1" t="s">
        <v>149</v>
      </c>
    </row>
    <row r="240" spans="1:12" ht="17.399999999999999" x14ac:dyDescent="0.35">
      <c r="A240" s="8" t="str">
        <f t="shared" si="16"/>
        <v>10104469412023</v>
      </c>
      <c r="B240" s="8">
        <v>1010446941</v>
      </c>
      <c r="C240" s="36">
        <v>45294</v>
      </c>
      <c r="D240" s="19" t="s">
        <v>432</v>
      </c>
      <c r="E240" s="32" t="s">
        <v>285</v>
      </c>
      <c r="F240" s="19">
        <v>2023</v>
      </c>
      <c r="G240" s="11">
        <v>13000</v>
      </c>
      <c r="H240" s="20">
        <f t="shared" si="19"/>
        <v>1950</v>
      </c>
      <c r="I240" s="20">
        <f t="shared" si="17"/>
        <v>14950</v>
      </c>
      <c r="J240" s="11">
        <f>7475</f>
        <v>7475</v>
      </c>
      <c r="K240" s="21">
        <f t="shared" si="20"/>
        <v>7475</v>
      </c>
      <c r="L240" s="1" t="s">
        <v>276</v>
      </c>
    </row>
    <row r="241" spans="1:12" ht="17.399999999999999" hidden="1" x14ac:dyDescent="0.35">
      <c r="A241" s="8" t="str">
        <f t="shared" si="16"/>
        <v>10102162692023</v>
      </c>
      <c r="B241" s="8">
        <v>1010216269</v>
      </c>
      <c r="C241" s="36">
        <v>45295</v>
      </c>
      <c r="D241" s="19" t="s">
        <v>433</v>
      </c>
      <c r="E241" s="15" t="s">
        <v>331</v>
      </c>
      <c r="F241" s="19">
        <v>2023</v>
      </c>
      <c r="G241" s="11">
        <f>15000/1.15</f>
        <v>13043.478260869566</v>
      </c>
      <c r="H241" s="20">
        <f t="shared" si="19"/>
        <v>1956.5217391304348</v>
      </c>
      <c r="I241" s="20">
        <f t="shared" si="17"/>
        <v>15000</v>
      </c>
      <c r="J241" s="11"/>
      <c r="K241" s="21">
        <f t="shared" si="20"/>
        <v>15000</v>
      </c>
      <c r="L241" s="1" t="s">
        <v>376</v>
      </c>
    </row>
    <row r="242" spans="1:12" ht="17.399999999999999" x14ac:dyDescent="0.35">
      <c r="A242" s="8" t="str">
        <f t="shared" si="16"/>
        <v>10108716582023</v>
      </c>
      <c r="B242" s="8">
        <v>1010871658</v>
      </c>
      <c r="C242" s="36">
        <v>45319</v>
      </c>
      <c r="D242" s="19" t="s">
        <v>434</v>
      </c>
      <c r="E242" s="15" t="s">
        <v>435</v>
      </c>
      <c r="F242" s="19">
        <v>2023</v>
      </c>
      <c r="G242" s="11">
        <v>12000</v>
      </c>
      <c r="H242" s="20">
        <f t="shared" si="19"/>
        <v>1800</v>
      </c>
      <c r="I242" s="20">
        <f t="shared" si="17"/>
        <v>13800</v>
      </c>
      <c r="J242" s="11">
        <f>5000</f>
        <v>5000</v>
      </c>
      <c r="K242" s="21">
        <f t="shared" si="20"/>
        <v>8800</v>
      </c>
      <c r="L242" s="1" t="s">
        <v>276</v>
      </c>
    </row>
    <row r="243" spans="1:12" ht="17.399999999999999" x14ac:dyDescent="0.35">
      <c r="A243" s="8" t="str">
        <f t="shared" si="16"/>
        <v>10106372712023</v>
      </c>
      <c r="B243" s="8">
        <v>1010637271</v>
      </c>
      <c r="C243" s="36">
        <v>45320</v>
      </c>
      <c r="D243" s="19" t="s">
        <v>436</v>
      </c>
      <c r="E243" s="32" t="s">
        <v>212</v>
      </c>
      <c r="F243" s="19">
        <v>2023</v>
      </c>
      <c r="G243" s="11">
        <v>10000</v>
      </c>
      <c r="H243" s="20">
        <f t="shared" si="19"/>
        <v>1500</v>
      </c>
      <c r="I243" s="20">
        <f t="shared" si="17"/>
        <v>11500</v>
      </c>
      <c r="J243" s="11">
        <f>5500+6000</f>
        <v>11500</v>
      </c>
      <c r="K243" s="21">
        <f t="shared" si="20"/>
        <v>0</v>
      </c>
      <c r="L243" s="1" t="s">
        <v>117</v>
      </c>
    </row>
    <row r="244" spans="1:12" ht="17.399999999999999" x14ac:dyDescent="0.35">
      <c r="A244" s="8" t="str">
        <f t="shared" si="16"/>
        <v>10102495932023</v>
      </c>
      <c r="B244" s="8">
        <v>1010249593</v>
      </c>
      <c r="C244" s="36">
        <v>45320</v>
      </c>
      <c r="D244" s="19" t="s">
        <v>437</v>
      </c>
      <c r="E244" s="15" t="s">
        <v>47</v>
      </c>
      <c r="F244" s="19">
        <v>2023</v>
      </c>
      <c r="G244" s="11">
        <v>18000</v>
      </c>
      <c r="H244" s="20">
        <f t="shared" si="19"/>
        <v>2700</v>
      </c>
      <c r="I244" s="20">
        <f t="shared" si="17"/>
        <v>20700</v>
      </c>
      <c r="J244" s="11">
        <f>20700</f>
        <v>20700</v>
      </c>
      <c r="K244" s="21">
        <f t="shared" si="20"/>
        <v>0</v>
      </c>
      <c r="L244" s="1" t="s">
        <v>379</v>
      </c>
    </row>
    <row r="245" spans="1:12" s="47" customFormat="1" ht="17.399999999999999" x14ac:dyDescent="0.35">
      <c r="A245" s="41" t="str">
        <f t="shared" si="16"/>
        <v>10107382952023</v>
      </c>
      <c r="B245" s="41">
        <v>1010738295</v>
      </c>
      <c r="C245" s="42">
        <v>45323</v>
      </c>
      <c r="D245" s="41" t="s">
        <v>438</v>
      </c>
      <c r="E245" s="43" t="s">
        <v>409</v>
      </c>
      <c r="F245" s="19">
        <v>2023</v>
      </c>
      <c r="G245" s="44">
        <v>8000</v>
      </c>
      <c r="H245" s="44">
        <f t="shared" si="19"/>
        <v>1200</v>
      </c>
      <c r="I245" s="44">
        <f t="shared" si="17"/>
        <v>9200</v>
      </c>
      <c r="J245" s="44">
        <f>4500+4000</f>
        <v>8500</v>
      </c>
      <c r="K245" s="45">
        <f t="shared" si="20"/>
        <v>700</v>
      </c>
      <c r="L245" s="46" t="s">
        <v>117</v>
      </c>
    </row>
    <row r="246" spans="1:12" ht="17.399999999999999" x14ac:dyDescent="0.35">
      <c r="A246" s="8" t="str">
        <f t="shared" si="16"/>
        <v>10100100652023</v>
      </c>
      <c r="B246" s="8">
        <v>1010010065</v>
      </c>
      <c r="C246" s="36">
        <v>45320</v>
      </c>
      <c r="D246" s="19" t="s">
        <v>439</v>
      </c>
      <c r="E246" s="15" t="s">
        <v>329</v>
      </c>
      <c r="F246" s="19">
        <v>2023</v>
      </c>
      <c r="G246" s="11">
        <f>10000/1.15</f>
        <v>8695.652173913044</v>
      </c>
      <c r="H246" s="20">
        <f t="shared" si="19"/>
        <v>1304.3478260869565</v>
      </c>
      <c r="I246" s="20">
        <f t="shared" si="17"/>
        <v>10000</v>
      </c>
      <c r="J246" s="11">
        <f>4500+5500</f>
        <v>10000</v>
      </c>
      <c r="K246" s="21">
        <f t="shared" si="20"/>
        <v>0</v>
      </c>
      <c r="L246" s="1" t="s">
        <v>205</v>
      </c>
    </row>
    <row r="247" spans="1:12" ht="17.399999999999999" x14ac:dyDescent="0.35">
      <c r="A247" s="8" t="str">
        <f t="shared" si="16"/>
        <v>35500192792023</v>
      </c>
      <c r="B247" s="8">
        <v>3550019279</v>
      </c>
      <c r="C247" s="36">
        <v>45323</v>
      </c>
      <c r="D247" s="19" t="s">
        <v>440</v>
      </c>
      <c r="E247" s="15" t="s">
        <v>145</v>
      </c>
      <c r="F247" s="19">
        <v>2023</v>
      </c>
      <c r="G247" s="11">
        <v>13000</v>
      </c>
      <c r="H247" s="20">
        <f t="shared" si="19"/>
        <v>1950</v>
      </c>
      <c r="I247" s="20">
        <f t="shared" si="17"/>
        <v>14950</v>
      </c>
      <c r="J247" s="11">
        <f>7475+7475</f>
        <v>14950</v>
      </c>
      <c r="K247" s="21">
        <f t="shared" si="20"/>
        <v>0</v>
      </c>
      <c r="L247" s="1" t="s">
        <v>27</v>
      </c>
    </row>
    <row r="248" spans="1:12" ht="17.399999999999999" x14ac:dyDescent="0.35">
      <c r="A248" s="8" t="str">
        <f t="shared" si="16"/>
        <v>10106875552023</v>
      </c>
      <c r="B248" s="8">
        <v>1010687555</v>
      </c>
      <c r="C248" s="36">
        <v>45323</v>
      </c>
      <c r="D248" s="19" t="s">
        <v>441</v>
      </c>
      <c r="E248" s="15" t="s">
        <v>442</v>
      </c>
      <c r="F248" s="19">
        <v>2023</v>
      </c>
      <c r="G248" s="11">
        <v>12000</v>
      </c>
      <c r="H248" s="20">
        <f t="shared" si="19"/>
        <v>1800</v>
      </c>
      <c r="I248" s="20">
        <f t="shared" si="17"/>
        <v>13800</v>
      </c>
      <c r="J248" s="11">
        <f>6900+6900</f>
        <v>13800</v>
      </c>
      <c r="K248" s="21">
        <f t="shared" si="20"/>
        <v>0</v>
      </c>
      <c r="L248" s="1" t="s">
        <v>37</v>
      </c>
    </row>
    <row r="249" spans="1:12" ht="17.399999999999999" x14ac:dyDescent="0.35">
      <c r="A249" s="8" t="str">
        <f t="shared" si="16"/>
        <v>10104737082023</v>
      </c>
      <c r="B249" s="8">
        <v>1010473708</v>
      </c>
      <c r="C249" s="36">
        <v>45327</v>
      </c>
      <c r="D249" s="19" t="s">
        <v>443</v>
      </c>
      <c r="E249" s="15" t="s">
        <v>444</v>
      </c>
      <c r="F249" s="19">
        <v>2023</v>
      </c>
      <c r="G249" s="11">
        <v>10000</v>
      </c>
      <c r="H249" s="20">
        <f t="shared" si="19"/>
        <v>1500</v>
      </c>
      <c r="I249" s="20">
        <f t="shared" si="17"/>
        <v>11500</v>
      </c>
      <c r="J249" s="11">
        <f>5750+5750</f>
        <v>11500</v>
      </c>
      <c r="K249" s="21">
        <f t="shared" si="20"/>
        <v>0</v>
      </c>
      <c r="L249" s="1" t="s">
        <v>27</v>
      </c>
    </row>
    <row r="250" spans="1:12" s="47" customFormat="1" ht="17.399999999999999" x14ac:dyDescent="0.35">
      <c r="A250" s="41" t="str">
        <f t="shared" si="16"/>
        <v>10108085902023</v>
      </c>
      <c r="B250" s="41">
        <v>1010808590</v>
      </c>
      <c r="C250" s="42">
        <v>45334</v>
      </c>
      <c r="D250" s="41" t="s">
        <v>445</v>
      </c>
      <c r="E250" s="43" t="s">
        <v>303</v>
      </c>
      <c r="F250" s="19">
        <v>2023</v>
      </c>
      <c r="G250" s="44">
        <v>14000</v>
      </c>
      <c r="H250" s="44">
        <f t="shared" si="19"/>
        <v>2100</v>
      </c>
      <c r="I250" s="44">
        <f t="shared" si="17"/>
        <v>16100</v>
      </c>
      <c r="J250" s="44">
        <f>8050+8050</f>
        <v>16100</v>
      </c>
      <c r="K250" s="45">
        <f t="shared" si="20"/>
        <v>0</v>
      </c>
      <c r="L250" s="46" t="s">
        <v>149</v>
      </c>
    </row>
    <row r="251" spans="1:12" ht="17.399999999999999" hidden="1" x14ac:dyDescent="0.35">
      <c r="A251" s="8" t="str">
        <f t="shared" si="16"/>
        <v>10106456012023</v>
      </c>
      <c r="B251" s="8">
        <v>1010645601</v>
      </c>
      <c r="C251" s="36">
        <v>45337</v>
      </c>
      <c r="D251" s="19" t="s">
        <v>446</v>
      </c>
      <c r="E251" s="15" t="s">
        <v>152</v>
      </c>
      <c r="F251" s="19">
        <v>2023</v>
      </c>
      <c r="G251" s="11">
        <v>12000</v>
      </c>
      <c r="H251" s="20">
        <f t="shared" si="19"/>
        <v>1800</v>
      </c>
      <c r="I251" s="20">
        <f t="shared" si="17"/>
        <v>13800</v>
      </c>
      <c r="J251" s="11"/>
      <c r="K251" s="21">
        <f t="shared" si="20"/>
        <v>13800</v>
      </c>
      <c r="L251" s="1" t="s">
        <v>15</v>
      </c>
    </row>
    <row r="252" spans="1:12" ht="17.399999999999999" x14ac:dyDescent="0.35">
      <c r="A252" s="8" t="str">
        <f t="shared" si="16"/>
        <v>10100243332023</v>
      </c>
      <c r="B252" s="8">
        <v>1010024333</v>
      </c>
      <c r="C252" s="36">
        <v>45370</v>
      </c>
      <c r="D252" s="19" t="s">
        <v>447</v>
      </c>
      <c r="E252" s="15" t="s">
        <v>448</v>
      </c>
      <c r="F252" s="19">
        <v>2023</v>
      </c>
      <c r="G252" s="11">
        <v>12000</v>
      </c>
      <c r="H252" s="20">
        <f t="shared" si="19"/>
        <v>1800</v>
      </c>
      <c r="I252" s="20">
        <f t="shared" si="17"/>
        <v>13800</v>
      </c>
      <c r="J252" s="11">
        <f>6900</f>
        <v>6900</v>
      </c>
      <c r="K252" s="21">
        <f t="shared" si="20"/>
        <v>6900</v>
      </c>
      <c r="L252" s="1" t="s">
        <v>449</v>
      </c>
    </row>
    <row r="253" spans="1:12" ht="17.399999999999999" x14ac:dyDescent="0.35">
      <c r="A253" s="8" t="str">
        <f t="shared" si="16"/>
        <v>10106571822023</v>
      </c>
      <c r="B253" s="8">
        <v>1010657182</v>
      </c>
      <c r="C253" s="36">
        <v>45375</v>
      </c>
      <c r="D253" s="19" t="s">
        <v>450</v>
      </c>
      <c r="E253" s="32" t="s">
        <v>350</v>
      </c>
      <c r="F253" s="19">
        <v>2023</v>
      </c>
      <c r="G253" s="11">
        <v>7500</v>
      </c>
      <c r="H253" s="20">
        <f t="shared" si="19"/>
        <v>1125</v>
      </c>
      <c r="I253" s="20">
        <f t="shared" si="17"/>
        <v>8625</v>
      </c>
      <c r="J253" s="11">
        <f>3750+4875</f>
        <v>8625</v>
      </c>
      <c r="K253" s="21">
        <f t="shared" si="20"/>
        <v>0</v>
      </c>
      <c r="L253" s="1" t="s">
        <v>117</v>
      </c>
    </row>
    <row r="254" spans="1:12" ht="17.399999999999999" x14ac:dyDescent="0.35">
      <c r="A254" s="8" t="str">
        <f t="shared" si="16"/>
        <v>10104655812023</v>
      </c>
      <c r="B254" s="8">
        <v>1010465581</v>
      </c>
      <c r="C254" s="36">
        <v>45375</v>
      </c>
      <c r="D254" s="19" t="s">
        <v>451</v>
      </c>
      <c r="E254" s="39" t="s">
        <v>319</v>
      </c>
      <c r="F254" s="19">
        <v>2023</v>
      </c>
      <c r="G254" s="11">
        <v>10000</v>
      </c>
      <c r="H254" s="20">
        <f t="shared" si="19"/>
        <v>1500</v>
      </c>
      <c r="I254" s="20">
        <f t="shared" si="17"/>
        <v>11500</v>
      </c>
      <c r="J254" s="11">
        <f>5750+5750</f>
        <v>11500</v>
      </c>
      <c r="K254" s="21">
        <f t="shared" si="20"/>
        <v>0</v>
      </c>
      <c r="L254" s="1" t="s">
        <v>354</v>
      </c>
    </row>
    <row r="255" spans="1:12" ht="17.399999999999999" x14ac:dyDescent="0.35">
      <c r="A255" s="8" t="str">
        <f t="shared" si="16"/>
        <v>10107364522023</v>
      </c>
      <c r="B255" s="8">
        <v>1010736452</v>
      </c>
      <c r="C255" s="36">
        <v>45375</v>
      </c>
      <c r="D255" s="19" t="s">
        <v>452</v>
      </c>
      <c r="E255" s="15" t="s">
        <v>321</v>
      </c>
      <c r="F255" s="19">
        <v>2023</v>
      </c>
      <c r="G255" s="11">
        <v>10000</v>
      </c>
      <c r="H255" s="20">
        <f t="shared" si="19"/>
        <v>1500</v>
      </c>
      <c r="I255" s="20">
        <f t="shared" si="17"/>
        <v>11500</v>
      </c>
      <c r="J255" s="11">
        <f>5750+5750</f>
        <v>11500</v>
      </c>
      <c r="K255" s="21">
        <f t="shared" si="20"/>
        <v>0</v>
      </c>
      <c r="L255" s="1" t="s">
        <v>382</v>
      </c>
    </row>
    <row r="256" spans="1:12" ht="17.399999999999999" x14ac:dyDescent="0.35">
      <c r="A256" s="8" t="str">
        <f t="shared" si="16"/>
        <v>10102770172023</v>
      </c>
      <c r="B256" s="8">
        <v>1010277017</v>
      </c>
      <c r="C256" s="36">
        <v>45375</v>
      </c>
      <c r="D256" s="19" t="s">
        <v>453</v>
      </c>
      <c r="E256" s="15" t="s">
        <v>454</v>
      </c>
      <c r="F256" s="19">
        <v>2023</v>
      </c>
      <c r="G256" s="11">
        <v>14500</v>
      </c>
      <c r="H256" s="20">
        <f t="shared" si="19"/>
        <v>2175</v>
      </c>
      <c r="I256" s="20">
        <f t="shared" si="17"/>
        <v>16675</v>
      </c>
      <c r="J256" s="11">
        <f>8337.5+8337</f>
        <v>16674.5</v>
      </c>
      <c r="K256" s="21">
        <f t="shared" si="20"/>
        <v>0.5</v>
      </c>
      <c r="L256" s="1" t="s">
        <v>205</v>
      </c>
    </row>
    <row r="257" spans="1:12" ht="17.399999999999999" x14ac:dyDescent="0.35">
      <c r="A257" s="8" t="str">
        <f t="shared" si="16"/>
        <v>10105209842023</v>
      </c>
      <c r="B257" s="8">
        <v>1010520984</v>
      </c>
      <c r="C257" s="36">
        <v>45379</v>
      </c>
      <c r="D257" s="19" t="s">
        <v>455</v>
      </c>
      <c r="E257" s="15" t="s">
        <v>113</v>
      </c>
      <c r="F257" s="19">
        <v>2023</v>
      </c>
      <c r="G257" s="11">
        <v>10000</v>
      </c>
      <c r="H257" s="20">
        <f t="shared" si="19"/>
        <v>1500</v>
      </c>
      <c r="I257" s="20">
        <f t="shared" si="17"/>
        <v>11500</v>
      </c>
      <c r="J257" s="11">
        <f>11500</f>
        <v>11500</v>
      </c>
      <c r="K257" s="21">
        <f t="shared" si="20"/>
        <v>0</v>
      </c>
      <c r="L257" s="1" t="s">
        <v>205</v>
      </c>
    </row>
    <row r="258" spans="1:12" ht="17.399999999999999" x14ac:dyDescent="0.35">
      <c r="A258" s="8" t="str">
        <f t="shared" ref="A258:A321" si="22">B258&amp;F258</f>
        <v>10106612862023</v>
      </c>
      <c r="B258" s="8">
        <v>1010661286</v>
      </c>
      <c r="C258" s="36">
        <v>45382</v>
      </c>
      <c r="D258" s="19" t="s">
        <v>456</v>
      </c>
      <c r="E258" s="15" t="s">
        <v>457</v>
      </c>
      <c r="F258" s="19">
        <v>2023</v>
      </c>
      <c r="G258" s="11">
        <v>10000</v>
      </c>
      <c r="H258" s="20">
        <f t="shared" si="19"/>
        <v>1500</v>
      </c>
      <c r="I258" s="20">
        <f t="shared" si="17"/>
        <v>11500</v>
      </c>
      <c r="J258" s="11">
        <f>5000+6500</f>
        <v>11500</v>
      </c>
      <c r="K258" s="21">
        <f t="shared" si="20"/>
        <v>0</v>
      </c>
      <c r="L258" s="1" t="s">
        <v>149</v>
      </c>
    </row>
    <row r="259" spans="1:12" ht="17.399999999999999" x14ac:dyDescent="0.35">
      <c r="A259" s="8" t="str">
        <f t="shared" si="22"/>
        <v>2023</v>
      </c>
      <c r="B259" s="8"/>
      <c r="C259" s="36">
        <v>45384</v>
      </c>
      <c r="D259" s="19" t="s">
        <v>458</v>
      </c>
      <c r="E259" s="15" t="s">
        <v>201</v>
      </c>
      <c r="F259" s="19">
        <v>2023</v>
      </c>
      <c r="G259" s="11">
        <v>10000</v>
      </c>
      <c r="H259" s="20">
        <f t="shared" si="19"/>
        <v>1500</v>
      </c>
      <c r="I259" s="20">
        <f t="shared" si="17"/>
        <v>11500</v>
      </c>
      <c r="J259" s="11">
        <f>5750+5750</f>
        <v>11500</v>
      </c>
      <c r="K259" s="21">
        <f t="shared" si="20"/>
        <v>0</v>
      </c>
      <c r="L259" s="1" t="s">
        <v>149</v>
      </c>
    </row>
    <row r="260" spans="1:12" s="63" customFormat="1" ht="17.399999999999999" x14ac:dyDescent="0.35">
      <c r="A260" s="56" t="str">
        <f t="shared" si="22"/>
        <v>10102347802023</v>
      </c>
      <c r="B260" s="56">
        <v>1010234780</v>
      </c>
      <c r="C260" s="57">
        <v>45385</v>
      </c>
      <c r="D260" s="58" t="s">
        <v>459</v>
      </c>
      <c r="E260" s="39" t="s">
        <v>460</v>
      </c>
      <c r="F260" s="19">
        <v>2023</v>
      </c>
      <c r="G260" s="59">
        <v>13000</v>
      </c>
      <c r="H260" s="60">
        <f t="shared" si="19"/>
        <v>1950</v>
      </c>
      <c r="I260" s="60">
        <f t="shared" si="17"/>
        <v>14950</v>
      </c>
      <c r="J260" s="59">
        <f>7475+7475</f>
        <v>14950</v>
      </c>
      <c r="K260" s="61">
        <f t="shared" si="20"/>
        <v>0</v>
      </c>
      <c r="L260" s="62" t="s">
        <v>276</v>
      </c>
    </row>
    <row r="261" spans="1:12" ht="17.399999999999999" x14ac:dyDescent="0.35">
      <c r="A261" s="8" t="str">
        <f t="shared" si="22"/>
        <v>2023</v>
      </c>
      <c r="B261" s="8"/>
      <c r="C261" s="36">
        <v>45386</v>
      </c>
      <c r="D261" s="19" t="s">
        <v>461</v>
      </c>
      <c r="E261" s="15" t="s">
        <v>176</v>
      </c>
      <c r="F261" s="19">
        <v>2023</v>
      </c>
      <c r="G261" s="11">
        <v>12500</v>
      </c>
      <c r="H261" s="20">
        <f t="shared" si="19"/>
        <v>1875</v>
      </c>
      <c r="I261" s="20">
        <f t="shared" ref="I261:I324" si="23">H261+G261</f>
        <v>14375</v>
      </c>
      <c r="J261" s="11">
        <f>4000</f>
        <v>4000</v>
      </c>
      <c r="K261" s="21">
        <f t="shared" si="20"/>
        <v>10375</v>
      </c>
      <c r="L261" s="1" t="s">
        <v>462</v>
      </c>
    </row>
    <row r="262" spans="1:12" ht="17.399999999999999" x14ac:dyDescent="0.35">
      <c r="A262" s="8" t="str">
        <f t="shared" si="22"/>
        <v>2023</v>
      </c>
      <c r="B262" s="8"/>
      <c r="C262" s="36">
        <v>45400</v>
      </c>
      <c r="D262" s="19" t="s">
        <v>463</v>
      </c>
      <c r="E262" s="39" t="s">
        <v>193</v>
      </c>
      <c r="F262" s="19">
        <v>2023</v>
      </c>
      <c r="G262" s="11">
        <v>13000</v>
      </c>
      <c r="H262" s="20">
        <f t="shared" si="19"/>
        <v>1950</v>
      </c>
      <c r="I262" s="20">
        <f t="shared" si="23"/>
        <v>14950</v>
      </c>
      <c r="J262" s="11">
        <f>7475+7475</f>
        <v>14950</v>
      </c>
      <c r="K262" s="21">
        <f t="shared" si="20"/>
        <v>0</v>
      </c>
      <c r="L262" s="1" t="s">
        <v>354</v>
      </c>
    </row>
    <row r="263" spans="1:12" ht="17.399999999999999" x14ac:dyDescent="0.35">
      <c r="A263" s="8" t="str">
        <f t="shared" si="22"/>
        <v>2023</v>
      </c>
      <c r="B263" s="8"/>
      <c r="C263" s="36">
        <v>45407</v>
      </c>
      <c r="D263" s="19" t="s">
        <v>464</v>
      </c>
      <c r="E263" s="15" t="s">
        <v>353</v>
      </c>
      <c r="F263" s="19">
        <v>2023</v>
      </c>
      <c r="G263" s="11">
        <f>12076/1.15</f>
        <v>10500.869565217392</v>
      </c>
      <c r="H263" s="20">
        <f t="shared" si="19"/>
        <v>1575.1304347826087</v>
      </c>
      <c r="I263" s="20">
        <f t="shared" si="23"/>
        <v>12076</v>
      </c>
      <c r="J263" s="11">
        <f>6000+6076</f>
        <v>12076</v>
      </c>
      <c r="K263" s="21">
        <f t="shared" si="20"/>
        <v>0</v>
      </c>
      <c r="L263" s="1" t="s">
        <v>449</v>
      </c>
    </row>
    <row r="264" spans="1:12" s="47" customFormat="1" ht="17.399999999999999" x14ac:dyDescent="0.35">
      <c r="A264" s="41" t="str">
        <f t="shared" si="22"/>
        <v>2023</v>
      </c>
      <c r="B264" s="41"/>
      <c r="C264" s="42">
        <v>45407</v>
      </c>
      <c r="D264" s="41" t="s">
        <v>465</v>
      </c>
      <c r="E264" s="43" t="s">
        <v>348</v>
      </c>
      <c r="F264" s="19">
        <v>2023</v>
      </c>
      <c r="G264" s="44">
        <v>15000</v>
      </c>
      <c r="H264" s="44">
        <f t="shared" si="19"/>
        <v>2250</v>
      </c>
      <c r="I264" s="44">
        <f t="shared" si="23"/>
        <v>17250</v>
      </c>
      <c r="J264" s="44">
        <f>8625+8625</f>
        <v>17250</v>
      </c>
      <c r="K264" s="45">
        <f t="shared" si="20"/>
        <v>0</v>
      </c>
      <c r="L264" s="46" t="s">
        <v>149</v>
      </c>
    </row>
    <row r="265" spans="1:12" ht="17.399999999999999" x14ac:dyDescent="0.35">
      <c r="A265" s="8" t="str">
        <f t="shared" si="22"/>
        <v>2023</v>
      </c>
      <c r="B265" s="8"/>
      <c r="C265" s="36">
        <v>45409</v>
      </c>
      <c r="D265" s="19" t="s">
        <v>466</v>
      </c>
      <c r="E265" s="39" t="s">
        <v>404</v>
      </c>
      <c r="F265" s="19">
        <v>2023</v>
      </c>
      <c r="G265" s="11">
        <v>14000</v>
      </c>
      <c r="H265" s="20">
        <f t="shared" si="19"/>
        <v>2100</v>
      </c>
      <c r="I265" s="20">
        <f t="shared" si="23"/>
        <v>16100</v>
      </c>
      <c r="J265" s="11">
        <f>8050+8050</f>
        <v>16100</v>
      </c>
      <c r="K265" s="21">
        <f t="shared" si="20"/>
        <v>0</v>
      </c>
      <c r="L265" s="1" t="s">
        <v>354</v>
      </c>
    </row>
    <row r="266" spans="1:12" ht="17.399999999999999" x14ac:dyDescent="0.35">
      <c r="A266" s="8" t="str">
        <f t="shared" si="22"/>
        <v>2023</v>
      </c>
      <c r="B266" s="8"/>
      <c r="C266" s="36">
        <v>45409</v>
      </c>
      <c r="D266" s="19" t="s">
        <v>467</v>
      </c>
      <c r="E266" s="15" t="s">
        <v>252</v>
      </c>
      <c r="F266" s="19">
        <v>2023</v>
      </c>
      <c r="G266" s="11">
        <v>15000</v>
      </c>
      <c r="H266" s="20">
        <f t="shared" si="19"/>
        <v>2250</v>
      </c>
      <c r="I266" s="20">
        <f t="shared" si="23"/>
        <v>17250</v>
      </c>
      <c r="J266" s="11">
        <f>17250</f>
        <v>17250</v>
      </c>
      <c r="K266" s="21">
        <f t="shared" si="20"/>
        <v>0</v>
      </c>
      <c r="L266" s="1" t="s">
        <v>205</v>
      </c>
    </row>
    <row r="267" spans="1:12" ht="17.399999999999999" hidden="1" x14ac:dyDescent="0.35">
      <c r="A267" s="8" t="str">
        <f t="shared" si="22"/>
        <v>2023</v>
      </c>
      <c r="B267" s="8"/>
      <c r="C267" s="36">
        <v>45418</v>
      </c>
      <c r="D267" s="19" t="s">
        <v>468</v>
      </c>
      <c r="E267" s="15" t="s">
        <v>469</v>
      </c>
      <c r="F267" s="19">
        <v>2023</v>
      </c>
      <c r="G267" s="11">
        <v>20000</v>
      </c>
      <c r="H267" s="20">
        <f t="shared" si="19"/>
        <v>3000</v>
      </c>
      <c r="I267" s="20">
        <f t="shared" si="23"/>
        <v>23000</v>
      </c>
      <c r="J267" s="11"/>
      <c r="K267" s="21">
        <f t="shared" si="20"/>
        <v>23000</v>
      </c>
      <c r="L267" s="1" t="s">
        <v>15</v>
      </c>
    </row>
    <row r="268" spans="1:12" ht="17.399999999999999" x14ac:dyDescent="0.35">
      <c r="A268" s="8" t="str">
        <f t="shared" si="22"/>
        <v>2022</v>
      </c>
      <c r="B268" s="8"/>
      <c r="C268" s="36">
        <v>45424</v>
      </c>
      <c r="D268" s="19" t="s">
        <v>470</v>
      </c>
      <c r="E268" s="15" t="s">
        <v>180</v>
      </c>
      <c r="F268" s="19">
        <v>2022</v>
      </c>
      <c r="G268" s="11">
        <v>15000</v>
      </c>
      <c r="H268" s="20">
        <f t="shared" si="19"/>
        <v>2250</v>
      </c>
      <c r="I268" s="20">
        <f t="shared" si="23"/>
        <v>17250</v>
      </c>
      <c r="J268" s="11">
        <f>17250</f>
        <v>17250</v>
      </c>
      <c r="K268" s="21">
        <f t="shared" si="20"/>
        <v>0</v>
      </c>
      <c r="L268" s="1" t="s">
        <v>379</v>
      </c>
    </row>
    <row r="269" spans="1:12" ht="17.399999999999999" x14ac:dyDescent="0.35">
      <c r="A269" s="8"/>
      <c r="B269" s="8"/>
      <c r="C269" s="36">
        <v>45424</v>
      </c>
      <c r="D269" s="19" t="s">
        <v>470</v>
      </c>
      <c r="E269" s="15" t="s">
        <v>180</v>
      </c>
      <c r="F269" s="19">
        <v>2023</v>
      </c>
      <c r="G269" s="11">
        <v>15000</v>
      </c>
      <c r="H269" s="20">
        <f t="shared" si="19"/>
        <v>2250</v>
      </c>
      <c r="I269" s="20">
        <f t="shared" si="23"/>
        <v>17250</v>
      </c>
      <c r="J269" s="11">
        <f>17250</f>
        <v>17250</v>
      </c>
      <c r="K269" s="21">
        <f t="shared" si="20"/>
        <v>0</v>
      </c>
      <c r="L269" s="1" t="s">
        <v>205</v>
      </c>
    </row>
    <row r="270" spans="1:12" s="47" customFormat="1" ht="17.399999999999999" x14ac:dyDescent="0.35">
      <c r="A270" s="41" t="str">
        <f t="shared" si="22"/>
        <v>2023</v>
      </c>
      <c r="B270" s="41"/>
      <c r="C270" s="42">
        <v>45439</v>
      </c>
      <c r="D270" s="41" t="s">
        <v>471</v>
      </c>
      <c r="E270" s="43" t="s">
        <v>472</v>
      </c>
      <c r="F270" s="19">
        <v>2023</v>
      </c>
      <c r="G270" s="44">
        <v>10000</v>
      </c>
      <c r="H270" s="44">
        <f t="shared" si="19"/>
        <v>1500</v>
      </c>
      <c r="I270" s="44">
        <f t="shared" si="23"/>
        <v>11500</v>
      </c>
      <c r="J270" s="44">
        <f>5750+5750</f>
        <v>11500</v>
      </c>
      <c r="K270" s="45">
        <f t="shared" si="20"/>
        <v>0</v>
      </c>
      <c r="L270" s="46" t="s">
        <v>149</v>
      </c>
    </row>
    <row r="271" spans="1:12" ht="17.399999999999999" x14ac:dyDescent="0.35">
      <c r="A271" s="8" t="str">
        <f t="shared" si="22"/>
        <v>2023</v>
      </c>
      <c r="B271" s="8"/>
      <c r="C271" s="36">
        <v>45445</v>
      </c>
      <c r="D271" s="19" t="s">
        <v>473</v>
      </c>
      <c r="E271" s="39" t="s">
        <v>31</v>
      </c>
      <c r="F271" s="19">
        <v>2023</v>
      </c>
      <c r="G271" s="11">
        <v>13000</v>
      </c>
      <c r="H271" s="20">
        <f t="shared" si="19"/>
        <v>1950</v>
      </c>
      <c r="I271" s="20">
        <f t="shared" si="23"/>
        <v>14950</v>
      </c>
      <c r="J271" s="11">
        <f>7475+7475</f>
        <v>14950</v>
      </c>
      <c r="K271" s="21">
        <f t="shared" si="20"/>
        <v>0</v>
      </c>
      <c r="L271" s="1" t="s">
        <v>354</v>
      </c>
    </row>
    <row r="272" spans="1:12" ht="17.399999999999999" x14ac:dyDescent="0.35">
      <c r="A272" s="8" t="str">
        <f t="shared" si="22"/>
        <v>2023</v>
      </c>
      <c r="B272" s="8"/>
      <c r="C272" s="36">
        <v>45446</v>
      </c>
      <c r="D272" s="19" t="s">
        <v>474</v>
      </c>
      <c r="E272" s="15" t="s">
        <v>256</v>
      </c>
      <c r="F272" s="19">
        <v>2023</v>
      </c>
      <c r="G272" s="11">
        <v>11500</v>
      </c>
      <c r="H272" s="20">
        <f t="shared" si="19"/>
        <v>1725</v>
      </c>
      <c r="I272" s="20">
        <f t="shared" si="23"/>
        <v>13225</v>
      </c>
      <c r="J272" s="11">
        <f>6612.5+6612.5</f>
        <v>13225</v>
      </c>
      <c r="K272" s="21">
        <f t="shared" si="20"/>
        <v>0</v>
      </c>
      <c r="L272" s="1" t="s">
        <v>149</v>
      </c>
    </row>
    <row r="273" spans="1:12" ht="17.399999999999999" x14ac:dyDescent="0.35">
      <c r="A273" s="8" t="str">
        <f t="shared" si="22"/>
        <v>2023</v>
      </c>
      <c r="B273" s="8"/>
      <c r="C273" s="36">
        <v>45466</v>
      </c>
      <c r="D273" s="19" t="s">
        <v>475</v>
      </c>
      <c r="E273" s="39" t="s">
        <v>476</v>
      </c>
      <c r="F273" s="19">
        <v>2023</v>
      </c>
      <c r="G273" s="11">
        <v>8000</v>
      </c>
      <c r="H273" s="20">
        <f t="shared" si="19"/>
        <v>1200</v>
      </c>
      <c r="I273" s="20">
        <f t="shared" si="23"/>
        <v>9200</v>
      </c>
      <c r="J273" s="11">
        <f>9200</f>
        <v>9200</v>
      </c>
      <c r="K273" s="21">
        <f t="shared" si="20"/>
        <v>0</v>
      </c>
      <c r="L273" s="1" t="s">
        <v>354</v>
      </c>
    </row>
    <row r="274" spans="1:12" s="47" customFormat="1" ht="17.399999999999999" x14ac:dyDescent="0.35">
      <c r="A274" s="41" t="str">
        <f t="shared" si="22"/>
        <v>2023</v>
      </c>
      <c r="B274" s="41"/>
      <c r="C274" s="42">
        <v>45473</v>
      </c>
      <c r="D274" s="41" t="s">
        <v>477</v>
      </c>
      <c r="E274" s="43" t="s">
        <v>123</v>
      </c>
      <c r="F274" s="19">
        <v>2023</v>
      </c>
      <c r="G274" s="44">
        <v>10000</v>
      </c>
      <c r="H274" s="44">
        <f t="shared" si="19"/>
        <v>1500</v>
      </c>
      <c r="I274" s="44">
        <f t="shared" si="23"/>
        <v>11500</v>
      </c>
      <c r="J274" s="44">
        <v>11500</v>
      </c>
      <c r="K274" s="45">
        <f t="shared" si="20"/>
        <v>0</v>
      </c>
      <c r="L274" s="46" t="s">
        <v>379</v>
      </c>
    </row>
    <row r="275" spans="1:12" ht="17.399999999999999" hidden="1" x14ac:dyDescent="0.35">
      <c r="A275" s="8" t="str">
        <f t="shared" si="22"/>
        <v>2023</v>
      </c>
      <c r="B275" s="8"/>
      <c r="C275" s="36">
        <v>45518</v>
      </c>
      <c r="D275" s="19" t="s">
        <v>478</v>
      </c>
      <c r="E275" s="39" t="s">
        <v>400</v>
      </c>
      <c r="F275" s="19">
        <v>2023</v>
      </c>
      <c r="G275" s="11">
        <v>6000</v>
      </c>
      <c r="H275" s="20">
        <f t="shared" si="19"/>
        <v>900</v>
      </c>
      <c r="I275" s="20">
        <f t="shared" si="23"/>
        <v>6900</v>
      </c>
      <c r="J275" s="11"/>
      <c r="K275" s="21">
        <f t="shared" si="20"/>
        <v>6900</v>
      </c>
      <c r="L275" s="1" t="s">
        <v>15</v>
      </c>
    </row>
    <row r="276" spans="1:12" s="47" customFormat="1" ht="17.399999999999999" x14ac:dyDescent="0.35">
      <c r="A276" s="41" t="str">
        <f t="shared" si="22"/>
        <v>2023</v>
      </c>
      <c r="B276" s="41"/>
      <c r="C276" s="42">
        <v>45521</v>
      </c>
      <c r="D276" s="41" t="s">
        <v>479</v>
      </c>
      <c r="E276" s="43" t="s">
        <v>480</v>
      </c>
      <c r="F276" s="19">
        <v>2023</v>
      </c>
      <c r="G276" s="44">
        <v>9500</v>
      </c>
      <c r="H276" s="44">
        <f t="shared" si="19"/>
        <v>1425</v>
      </c>
      <c r="I276" s="44">
        <f t="shared" si="23"/>
        <v>10925</v>
      </c>
      <c r="J276" s="44">
        <f>5462.5+5462.5</f>
        <v>10925</v>
      </c>
      <c r="K276" s="45">
        <f t="shared" si="20"/>
        <v>0</v>
      </c>
      <c r="L276" s="46" t="s">
        <v>149</v>
      </c>
    </row>
    <row r="277" spans="1:12" s="47" customFormat="1" ht="17.399999999999999" x14ac:dyDescent="0.35">
      <c r="A277" s="41" t="str">
        <f t="shared" si="22"/>
        <v>2022</v>
      </c>
      <c r="B277" s="41"/>
      <c r="C277" s="42">
        <v>45533</v>
      </c>
      <c r="D277" s="41" t="s">
        <v>481</v>
      </c>
      <c r="E277" s="43" t="s">
        <v>482</v>
      </c>
      <c r="F277" s="19">
        <v>2022</v>
      </c>
      <c r="G277" s="44">
        <v>12000</v>
      </c>
      <c r="H277" s="44">
        <f t="shared" si="19"/>
        <v>1800</v>
      </c>
      <c r="I277" s="44">
        <f t="shared" si="23"/>
        <v>13800</v>
      </c>
      <c r="J277" s="44">
        <f>6000+6000</f>
        <v>12000</v>
      </c>
      <c r="K277" s="45">
        <f t="shared" si="20"/>
        <v>1800</v>
      </c>
      <c r="L277" s="46" t="s">
        <v>382</v>
      </c>
    </row>
    <row r="278" spans="1:12" ht="17.399999999999999" hidden="1" x14ac:dyDescent="0.35">
      <c r="A278" s="8" t="str">
        <f t="shared" si="22"/>
        <v>2023</v>
      </c>
      <c r="B278" s="8"/>
      <c r="C278" s="36">
        <v>45533</v>
      </c>
      <c r="D278" s="19" t="s">
        <v>481</v>
      </c>
      <c r="E278" s="15" t="s">
        <v>482</v>
      </c>
      <c r="F278" s="19">
        <v>2023</v>
      </c>
      <c r="G278" s="11">
        <v>12000</v>
      </c>
      <c r="H278" s="20">
        <f t="shared" si="19"/>
        <v>1800</v>
      </c>
      <c r="I278" s="20">
        <f t="shared" si="23"/>
        <v>13800</v>
      </c>
      <c r="J278" s="11"/>
      <c r="K278" s="21">
        <f t="shared" si="20"/>
        <v>13800</v>
      </c>
      <c r="L278" s="1" t="s">
        <v>376</v>
      </c>
    </row>
    <row r="279" spans="1:12" s="47" customFormat="1" ht="17.399999999999999" x14ac:dyDescent="0.35">
      <c r="A279" s="41" t="str">
        <f t="shared" si="22"/>
        <v>2024</v>
      </c>
      <c r="B279" s="41"/>
      <c r="C279" s="42">
        <v>45540</v>
      </c>
      <c r="D279" s="41" t="s">
        <v>483</v>
      </c>
      <c r="E279" s="43" t="s">
        <v>484</v>
      </c>
      <c r="F279" s="19">
        <v>2024</v>
      </c>
      <c r="G279" s="44">
        <v>16500</v>
      </c>
      <c r="H279" s="44">
        <f t="shared" si="19"/>
        <v>2475</v>
      </c>
      <c r="I279" s="44">
        <f t="shared" si="23"/>
        <v>18975</v>
      </c>
      <c r="J279" s="44">
        <f>9487.5</f>
        <v>9487.5</v>
      </c>
      <c r="K279" s="45">
        <f t="shared" si="20"/>
        <v>9487.5</v>
      </c>
      <c r="L279" s="46" t="s">
        <v>462</v>
      </c>
    </row>
    <row r="280" spans="1:12" s="47" customFormat="1" ht="17.399999999999999" x14ac:dyDescent="0.35">
      <c r="A280" s="41" t="str">
        <f t="shared" si="22"/>
        <v>حساب ختامي</v>
      </c>
      <c r="B280" s="41"/>
      <c r="C280" s="42">
        <v>45560</v>
      </c>
      <c r="D280" s="41" t="s">
        <v>485</v>
      </c>
      <c r="E280" s="43" t="s">
        <v>486</v>
      </c>
      <c r="F280" s="19" t="s">
        <v>487</v>
      </c>
      <c r="G280" s="44">
        <v>14000</v>
      </c>
      <c r="H280" s="44">
        <f t="shared" si="19"/>
        <v>2100</v>
      </c>
      <c r="I280" s="44">
        <f t="shared" si="23"/>
        <v>16100</v>
      </c>
      <c r="J280" s="44">
        <f>8050+8050</f>
        <v>16100</v>
      </c>
      <c r="K280" s="45">
        <f t="shared" si="20"/>
        <v>0</v>
      </c>
      <c r="L280" s="46" t="s">
        <v>205</v>
      </c>
    </row>
    <row r="281" spans="1:12" s="47" customFormat="1" ht="17.399999999999999" x14ac:dyDescent="0.35">
      <c r="A281" s="41" t="str">
        <f t="shared" si="22"/>
        <v>حساب ختامي</v>
      </c>
      <c r="B281" s="41"/>
      <c r="C281" s="42">
        <v>45560</v>
      </c>
      <c r="D281" s="41" t="s">
        <v>488</v>
      </c>
      <c r="E281" s="43" t="s">
        <v>489</v>
      </c>
      <c r="F281" s="19" t="s">
        <v>487</v>
      </c>
      <c r="G281" s="44">
        <v>14000</v>
      </c>
      <c r="H281" s="44">
        <f t="shared" si="19"/>
        <v>2100</v>
      </c>
      <c r="I281" s="44">
        <f t="shared" si="23"/>
        <v>16100</v>
      </c>
      <c r="J281" s="44">
        <f>8050+8050</f>
        <v>16100</v>
      </c>
      <c r="K281" s="45">
        <f t="shared" si="20"/>
        <v>0</v>
      </c>
      <c r="L281" s="46" t="s">
        <v>205</v>
      </c>
    </row>
    <row r="282" spans="1:12" s="47" customFormat="1" ht="17.399999999999999" x14ac:dyDescent="0.35">
      <c r="A282" s="41" t="str">
        <f t="shared" si="22"/>
        <v>2023</v>
      </c>
      <c r="B282" s="41"/>
      <c r="C282" s="42">
        <v>45586</v>
      </c>
      <c r="D282" s="41" t="s">
        <v>490</v>
      </c>
      <c r="E282" s="43" t="s">
        <v>35</v>
      </c>
      <c r="F282" s="19">
        <v>2023</v>
      </c>
      <c r="G282" s="44">
        <v>15000</v>
      </c>
      <c r="H282" s="44">
        <f t="shared" ref="H282:H345" si="24">G282*0.15</f>
        <v>2250</v>
      </c>
      <c r="I282" s="44">
        <f t="shared" si="23"/>
        <v>17250</v>
      </c>
      <c r="J282" s="44">
        <f>5000</f>
        <v>5000</v>
      </c>
      <c r="K282" s="45">
        <f t="shared" si="20"/>
        <v>12250</v>
      </c>
      <c r="L282" s="46" t="s">
        <v>276</v>
      </c>
    </row>
    <row r="283" spans="1:12" s="47" customFormat="1" ht="17.399999999999999" x14ac:dyDescent="0.35">
      <c r="A283" s="41" t="str">
        <f t="shared" si="22"/>
        <v>2024</v>
      </c>
      <c r="B283" s="41"/>
      <c r="C283" s="42">
        <v>45595</v>
      </c>
      <c r="D283" s="41" t="s">
        <v>491</v>
      </c>
      <c r="E283" s="43" t="s">
        <v>492</v>
      </c>
      <c r="F283" s="19">
        <v>2024</v>
      </c>
      <c r="G283" s="44">
        <v>25000</v>
      </c>
      <c r="H283" s="44">
        <f t="shared" si="24"/>
        <v>3750</v>
      </c>
      <c r="I283" s="44">
        <f t="shared" si="23"/>
        <v>28750</v>
      </c>
      <c r="J283" s="44">
        <f>14375+14375</f>
        <v>28750</v>
      </c>
      <c r="K283" s="45">
        <f t="shared" si="20"/>
        <v>0</v>
      </c>
      <c r="L283" s="46" t="s">
        <v>382</v>
      </c>
    </row>
    <row r="284" spans="1:12" s="47" customFormat="1" ht="17.399999999999999" x14ac:dyDescent="0.35">
      <c r="A284" s="41" t="str">
        <f t="shared" si="22"/>
        <v>2024</v>
      </c>
      <c r="B284" s="41"/>
      <c r="C284" s="42">
        <v>45602</v>
      </c>
      <c r="D284" s="41" t="s">
        <v>493</v>
      </c>
      <c r="E284" s="43" t="s">
        <v>404</v>
      </c>
      <c r="F284" s="19">
        <v>2024</v>
      </c>
      <c r="G284" s="44">
        <v>18000</v>
      </c>
      <c r="H284" s="44">
        <f t="shared" si="24"/>
        <v>2700</v>
      </c>
      <c r="I284" s="44">
        <f t="shared" si="23"/>
        <v>20700</v>
      </c>
      <c r="J284" s="44">
        <f>10350</f>
        <v>10350</v>
      </c>
      <c r="K284" s="45">
        <f t="shared" si="20"/>
        <v>10350</v>
      </c>
      <c r="L284" s="46" t="s">
        <v>276</v>
      </c>
    </row>
    <row r="285" spans="1:12" s="47" customFormat="1" ht="17.399999999999999" x14ac:dyDescent="0.35">
      <c r="A285" s="41" t="str">
        <f t="shared" si="22"/>
        <v>2024</v>
      </c>
      <c r="B285" s="41"/>
      <c r="C285" s="42">
        <v>45602</v>
      </c>
      <c r="D285" s="41" t="s">
        <v>494</v>
      </c>
      <c r="E285" s="43" t="s">
        <v>495</v>
      </c>
      <c r="F285" s="19">
        <v>2024</v>
      </c>
      <c r="G285" s="44">
        <v>15000</v>
      </c>
      <c r="H285" s="44">
        <f t="shared" si="24"/>
        <v>2250</v>
      </c>
      <c r="I285" s="44">
        <f t="shared" si="23"/>
        <v>17250</v>
      </c>
      <c r="J285" s="44">
        <f>8625+8625</f>
        <v>17250</v>
      </c>
      <c r="K285" s="45">
        <f t="shared" si="20"/>
        <v>0</v>
      </c>
      <c r="L285" s="46" t="s">
        <v>382</v>
      </c>
    </row>
    <row r="286" spans="1:12" s="47" customFormat="1" ht="17.399999999999999" x14ac:dyDescent="0.35">
      <c r="A286" s="41" t="str">
        <f t="shared" si="22"/>
        <v>2024</v>
      </c>
      <c r="B286" s="41"/>
      <c r="C286" s="42">
        <v>45603</v>
      </c>
      <c r="D286" s="41" t="s">
        <v>496</v>
      </c>
      <c r="E286" s="43" t="s">
        <v>497</v>
      </c>
      <c r="F286" s="19">
        <v>2024</v>
      </c>
      <c r="G286" s="44">
        <v>15000</v>
      </c>
      <c r="H286" s="44">
        <f t="shared" si="24"/>
        <v>2250</v>
      </c>
      <c r="I286" s="44">
        <f t="shared" si="23"/>
        <v>17250</v>
      </c>
      <c r="J286" s="44">
        <f>8625+8625</f>
        <v>17250</v>
      </c>
      <c r="K286" s="45">
        <f t="shared" si="20"/>
        <v>0</v>
      </c>
      <c r="L286" s="46" t="s">
        <v>449</v>
      </c>
    </row>
    <row r="287" spans="1:12" s="47" customFormat="1" ht="17.399999999999999" x14ac:dyDescent="0.35">
      <c r="A287" s="41" t="str">
        <f t="shared" si="22"/>
        <v>2024</v>
      </c>
      <c r="B287" s="41"/>
      <c r="C287" s="42">
        <v>45606</v>
      </c>
      <c r="D287" s="41" t="s">
        <v>498</v>
      </c>
      <c r="E287" s="43" t="s">
        <v>295</v>
      </c>
      <c r="F287" s="19">
        <v>2024</v>
      </c>
      <c r="G287" s="44">
        <v>14000</v>
      </c>
      <c r="H287" s="44">
        <f t="shared" si="24"/>
        <v>2100</v>
      </c>
      <c r="I287" s="44">
        <f t="shared" si="23"/>
        <v>16100</v>
      </c>
      <c r="J287" s="44">
        <f>8050</f>
        <v>8050</v>
      </c>
      <c r="K287" s="45">
        <f t="shared" si="20"/>
        <v>8050</v>
      </c>
      <c r="L287" s="46" t="s">
        <v>376</v>
      </c>
    </row>
    <row r="288" spans="1:12" s="47" customFormat="1" ht="17.399999999999999" x14ac:dyDescent="0.35">
      <c r="A288" s="41" t="str">
        <f t="shared" si="22"/>
        <v>2024</v>
      </c>
      <c r="B288" s="41"/>
      <c r="C288" s="42">
        <v>45606</v>
      </c>
      <c r="D288" s="41" t="s">
        <v>499</v>
      </c>
      <c r="E288" s="43" t="s">
        <v>293</v>
      </c>
      <c r="F288" s="19">
        <v>2024</v>
      </c>
      <c r="G288" s="44">
        <v>14000</v>
      </c>
      <c r="H288" s="44">
        <f t="shared" si="24"/>
        <v>2100</v>
      </c>
      <c r="I288" s="44">
        <f t="shared" si="23"/>
        <v>16100</v>
      </c>
      <c r="J288" s="44">
        <f>8050</f>
        <v>8050</v>
      </c>
      <c r="K288" s="45">
        <f t="shared" si="20"/>
        <v>8050</v>
      </c>
      <c r="L288" s="46" t="s">
        <v>376</v>
      </c>
    </row>
    <row r="289" spans="1:12" s="47" customFormat="1" ht="17.399999999999999" x14ac:dyDescent="0.35">
      <c r="A289" s="41" t="str">
        <f t="shared" si="22"/>
        <v>2024</v>
      </c>
      <c r="B289" s="41"/>
      <c r="C289" s="42">
        <v>45606</v>
      </c>
      <c r="D289" s="41" t="s">
        <v>500</v>
      </c>
      <c r="E289" s="43" t="s">
        <v>418</v>
      </c>
      <c r="F289" s="19">
        <v>2024</v>
      </c>
      <c r="G289" s="44">
        <v>14000</v>
      </c>
      <c r="H289" s="44">
        <f t="shared" si="24"/>
        <v>2100</v>
      </c>
      <c r="I289" s="44">
        <f t="shared" si="23"/>
        <v>16100</v>
      </c>
      <c r="J289" s="44">
        <f>8050</f>
        <v>8050</v>
      </c>
      <c r="K289" s="45">
        <f t="shared" si="20"/>
        <v>8050</v>
      </c>
      <c r="L289" s="46" t="s">
        <v>376</v>
      </c>
    </row>
    <row r="290" spans="1:12" s="47" customFormat="1" ht="17.399999999999999" x14ac:dyDescent="0.35">
      <c r="A290" s="41" t="str">
        <f t="shared" si="22"/>
        <v>2024</v>
      </c>
      <c r="B290" s="41"/>
      <c r="C290" s="42">
        <v>45606</v>
      </c>
      <c r="D290" s="41" t="s">
        <v>501</v>
      </c>
      <c r="E290" s="43" t="s">
        <v>297</v>
      </c>
      <c r="F290" s="19">
        <v>2024</v>
      </c>
      <c r="G290" s="44">
        <v>14000</v>
      </c>
      <c r="H290" s="44">
        <f t="shared" si="24"/>
        <v>2100</v>
      </c>
      <c r="I290" s="44">
        <f t="shared" si="23"/>
        <v>16100</v>
      </c>
      <c r="J290" s="44">
        <f>8050</f>
        <v>8050</v>
      </c>
      <c r="K290" s="45">
        <f t="shared" si="20"/>
        <v>8050</v>
      </c>
      <c r="L290" s="46" t="s">
        <v>376</v>
      </c>
    </row>
    <row r="291" spans="1:12" s="47" customFormat="1" ht="17.399999999999999" x14ac:dyDescent="0.35">
      <c r="A291" s="41" t="str">
        <f t="shared" si="22"/>
        <v>2024</v>
      </c>
      <c r="B291" s="41"/>
      <c r="C291" s="42">
        <v>45606</v>
      </c>
      <c r="D291" s="41" t="s">
        <v>502</v>
      </c>
      <c r="E291" s="43" t="s">
        <v>299</v>
      </c>
      <c r="F291" s="19">
        <v>2024</v>
      </c>
      <c r="G291" s="44">
        <v>14000</v>
      </c>
      <c r="H291" s="44">
        <f t="shared" si="24"/>
        <v>2100</v>
      </c>
      <c r="I291" s="44">
        <f t="shared" si="23"/>
        <v>16100</v>
      </c>
      <c r="J291" s="44">
        <f>8050</f>
        <v>8050</v>
      </c>
      <c r="K291" s="45">
        <f t="shared" si="20"/>
        <v>8050</v>
      </c>
      <c r="L291" s="46" t="s">
        <v>376</v>
      </c>
    </row>
    <row r="292" spans="1:12" s="47" customFormat="1" ht="17.399999999999999" x14ac:dyDescent="0.35">
      <c r="A292" s="41" t="str">
        <f t="shared" si="22"/>
        <v>2024</v>
      </c>
      <c r="B292" s="41"/>
      <c r="C292" s="42">
        <v>45606</v>
      </c>
      <c r="D292" s="41" t="s">
        <v>503</v>
      </c>
      <c r="E292" s="43" t="s">
        <v>504</v>
      </c>
      <c r="F292" s="19">
        <v>2024</v>
      </c>
      <c r="G292" s="44">
        <v>14000</v>
      </c>
      <c r="H292" s="44">
        <f t="shared" si="24"/>
        <v>2100</v>
      </c>
      <c r="I292" s="44">
        <f t="shared" si="23"/>
        <v>16100</v>
      </c>
      <c r="J292" s="44">
        <f>8050</f>
        <v>8050</v>
      </c>
      <c r="K292" s="45">
        <f t="shared" si="20"/>
        <v>8050</v>
      </c>
      <c r="L292" s="46" t="s">
        <v>376</v>
      </c>
    </row>
    <row r="293" spans="1:12" s="47" customFormat="1" ht="17.399999999999999" x14ac:dyDescent="0.35">
      <c r="A293" s="41" t="str">
        <f t="shared" si="22"/>
        <v>2024</v>
      </c>
      <c r="B293" s="41"/>
      <c r="C293" s="42">
        <v>45606</v>
      </c>
      <c r="D293" s="41" t="s">
        <v>505</v>
      </c>
      <c r="E293" s="43" t="s">
        <v>303</v>
      </c>
      <c r="F293" s="19">
        <v>2024</v>
      </c>
      <c r="G293" s="44">
        <v>14000</v>
      </c>
      <c r="H293" s="44">
        <f t="shared" si="24"/>
        <v>2100</v>
      </c>
      <c r="I293" s="44">
        <f t="shared" si="23"/>
        <v>16100</v>
      </c>
      <c r="J293" s="44">
        <f>8050</f>
        <v>8050</v>
      </c>
      <c r="K293" s="45">
        <f t="shared" si="20"/>
        <v>8050</v>
      </c>
      <c r="L293" s="46" t="s">
        <v>376</v>
      </c>
    </row>
    <row r="294" spans="1:12" s="47" customFormat="1" ht="17.399999999999999" x14ac:dyDescent="0.35">
      <c r="A294" s="41" t="str">
        <f t="shared" si="22"/>
        <v>2024</v>
      </c>
      <c r="B294" s="41"/>
      <c r="C294" s="42">
        <v>45606</v>
      </c>
      <c r="D294" s="41" t="s">
        <v>506</v>
      </c>
      <c r="E294" s="43" t="s">
        <v>309</v>
      </c>
      <c r="F294" s="19">
        <v>2024</v>
      </c>
      <c r="G294" s="44">
        <v>14000</v>
      </c>
      <c r="H294" s="44">
        <f t="shared" si="24"/>
        <v>2100</v>
      </c>
      <c r="I294" s="44">
        <f t="shared" si="23"/>
        <v>16100</v>
      </c>
      <c r="J294" s="44">
        <f>8050</f>
        <v>8050</v>
      </c>
      <c r="K294" s="45">
        <f t="shared" si="20"/>
        <v>8050</v>
      </c>
      <c r="L294" s="46" t="s">
        <v>376</v>
      </c>
    </row>
    <row r="295" spans="1:12" s="47" customFormat="1" ht="17.399999999999999" x14ac:dyDescent="0.35">
      <c r="A295" s="41" t="str">
        <f t="shared" si="22"/>
        <v>2024</v>
      </c>
      <c r="B295" s="41"/>
      <c r="C295" s="42">
        <v>45606</v>
      </c>
      <c r="D295" s="41" t="s">
        <v>507</v>
      </c>
      <c r="E295" s="43" t="s">
        <v>508</v>
      </c>
      <c r="F295" s="19">
        <v>2024</v>
      </c>
      <c r="G295" s="44">
        <v>14000</v>
      </c>
      <c r="H295" s="44">
        <f t="shared" si="24"/>
        <v>2100</v>
      </c>
      <c r="I295" s="44">
        <f t="shared" si="23"/>
        <v>16100</v>
      </c>
      <c r="J295" s="44">
        <f>4025+4025</f>
        <v>8050</v>
      </c>
      <c r="K295" s="45">
        <f t="shared" si="20"/>
        <v>8050</v>
      </c>
      <c r="L295" s="46" t="s">
        <v>376</v>
      </c>
    </row>
    <row r="296" spans="1:12" s="47" customFormat="1" ht="17.399999999999999" x14ac:dyDescent="0.35">
      <c r="A296" s="41" t="str">
        <f t="shared" si="22"/>
        <v>2024</v>
      </c>
      <c r="B296" s="41"/>
      <c r="C296" s="42">
        <v>45606</v>
      </c>
      <c r="D296" s="41" t="s">
        <v>509</v>
      </c>
      <c r="E296" s="43" t="s">
        <v>317</v>
      </c>
      <c r="F296" s="19">
        <v>2024</v>
      </c>
      <c r="G296" s="44">
        <v>16000</v>
      </c>
      <c r="H296" s="44">
        <f t="shared" si="24"/>
        <v>2400</v>
      </c>
      <c r="I296" s="44">
        <f t="shared" si="23"/>
        <v>18400</v>
      </c>
      <c r="J296" s="44">
        <f>4600+4600</f>
        <v>9200</v>
      </c>
      <c r="K296" s="45">
        <f t="shared" si="20"/>
        <v>9200</v>
      </c>
      <c r="L296" s="46" t="s">
        <v>376</v>
      </c>
    </row>
    <row r="297" spans="1:12" s="47" customFormat="1" ht="17.399999999999999" x14ac:dyDescent="0.35">
      <c r="A297" s="47" t="str">
        <f t="shared" si="22"/>
        <v>2024</v>
      </c>
      <c r="C297" s="47">
        <v>45606</v>
      </c>
      <c r="D297" s="47" t="s">
        <v>510</v>
      </c>
      <c r="E297" s="47" t="s">
        <v>313</v>
      </c>
      <c r="F297" s="19">
        <v>2024</v>
      </c>
      <c r="G297" s="47">
        <v>16000</v>
      </c>
      <c r="H297" s="47">
        <f t="shared" si="24"/>
        <v>2400</v>
      </c>
      <c r="I297" s="47">
        <f t="shared" si="23"/>
        <v>18400</v>
      </c>
      <c r="J297" s="47">
        <f>9200</f>
        <v>9200</v>
      </c>
      <c r="K297" s="47">
        <f t="shared" si="20"/>
        <v>9200</v>
      </c>
      <c r="L297" s="47" t="s">
        <v>376</v>
      </c>
    </row>
    <row r="298" spans="1:12" s="47" customFormat="1" ht="17.399999999999999" x14ac:dyDescent="0.35">
      <c r="A298" s="41" t="str">
        <f t="shared" si="22"/>
        <v>2024</v>
      </c>
      <c r="B298" s="41"/>
      <c r="C298" s="42">
        <v>45606</v>
      </c>
      <c r="D298" s="41" t="s">
        <v>511</v>
      </c>
      <c r="E298" s="43" t="s">
        <v>315</v>
      </c>
      <c r="F298" s="19">
        <v>2024</v>
      </c>
      <c r="G298" s="44">
        <v>16000</v>
      </c>
      <c r="H298" s="44">
        <f t="shared" si="24"/>
        <v>2400</v>
      </c>
      <c r="I298" s="44">
        <f t="shared" si="23"/>
        <v>18400</v>
      </c>
      <c r="J298" s="44">
        <f>9200</f>
        <v>9200</v>
      </c>
      <c r="K298" s="45">
        <f t="shared" si="20"/>
        <v>9200</v>
      </c>
      <c r="L298" s="46" t="s">
        <v>376</v>
      </c>
    </row>
    <row r="299" spans="1:12" s="47" customFormat="1" ht="17.399999999999999" x14ac:dyDescent="0.35">
      <c r="A299" s="41" t="str">
        <f t="shared" si="22"/>
        <v>2024</v>
      </c>
      <c r="B299" s="41"/>
      <c r="C299" s="42">
        <v>45606</v>
      </c>
      <c r="D299" s="41" t="s">
        <v>512</v>
      </c>
      <c r="E299" s="43" t="s">
        <v>307</v>
      </c>
      <c r="F299" s="19">
        <v>2024</v>
      </c>
      <c r="G299" s="44">
        <v>16000</v>
      </c>
      <c r="H299" s="44">
        <f t="shared" si="24"/>
        <v>2400</v>
      </c>
      <c r="I299" s="44">
        <f t="shared" si="23"/>
        <v>18400</v>
      </c>
      <c r="J299" s="44">
        <f>9200</f>
        <v>9200</v>
      </c>
      <c r="K299" s="45">
        <f t="shared" si="20"/>
        <v>9200</v>
      </c>
      <c r="L299" s="46" t="s">
        <v>376</v>
      </c>
    </row>
    <row r="300" spans="1:12" s="47" customFormat="1" ht="17.399999999999999" x14ac:dyDescent="0.35">
      <c r="A300" s="41" t="str">
        <f t="shared" si="22"/>
        <v>2024</v>
      </c>
      <c r="B300" s="41"/>
      <c r="C300" s="42">
        <v>45606</v>
      </c>
      <c r="D300" s="41" t="s">
        <v>513</v>
      </c>
      <c r="E300" s="43" t="s">
        <v>426</v>
      </c>
      <c r="F300" s="19">
        <v>2024</v>
      </c>
      <c r="G300" s="44">
        <v>16000</v>
      </c>
      <c r="H300" s="44">
        <f t="shared" si="24"/>
        <v>2400</v>
      </c>
      <c r="I300" s="44">
        <f t="shared" si="23"/>
        <v>18400</v>
      </c>
      <c r="J300" s="44">
        <f>9200</f>
        <v>9200</v>
      </c>
      <c r="K300" s="45">
        <f t="shared" si="20"/>
        <v>9200</v>
      </c>
      <c r="L300" s="46" t="s">
        <v>376</v>
      </c>
    </row>
    <row r="301" spans="1:12" s="47" customFormat="1" ht="17.399999999999999" x14ac:dyDescent="0.35">
      <c r="A301" s="41" t="str">
        <f t="shared" si="22"/>
        <v>2024</v>
      </c>
      <c r="B301" s="41"/>
      <c r="C301" s="42">
        <v>45606</v>
      </c>
      <c r="D301" s="41" t="s">
        <v>514</v>
      </c>
      <c r="E301" s="43" t="s">
        <v>428</v>
      </c>
      <c r="F301" s="19">
        <v>2024</v>
      </c>
      <c r="G301" s="44">
        <v>16000</v>
      </c>
      <c r="H301" s="44">
        <f t="shared" si="24"/>
        <v>2400</v>
      </c>
      <c r="I301" s="44">
        <f t="shared" si="23"/>
        <v>18400</v>
      </c>
      <c r="J301" s="44">
        <f>9200</f>
        <v>9200</v>
      </c>
      <c r="K301" s="45">
        <f t="shared" si="20"/>
        <v>9200</v>
      </c>
      <c r="L301" s="46" t="s">
        <v>376</v>
      </c>
    </row>
    <row r="302" spans="1:12" s="47" customFormat="1" ht="17.399999999999999" x14ac:dyDescent="0.35">
      <c r="A302" s="41" t="str">
        <f t="shared" si="22"/>
        <v>2024</v>
      </c>
      <c r="B302" s="41"/>
      <c r="C302" s="42">
        <v>45606</v>
      </c>
      <c r="D302" s="41" t="s">
        <v>515</v>
      </c>
      <c r="E302" s="43" t="s">
        <v>430</v>
      </c>
      <c r="F302" s="19">
        <v>2024</v>
      </c>
      <c r="G302" s="44">
        <v>16000</v>
      </c>
      <c r="H302" s="44">
        <f t="shared" si="24"/>
        <v>2400</v>
      </c>
      <c r="I302" s="44">
        <f t="shared" si="23"/>
        <v>18400</v>
      </c>
      <c r="J302" s="44">
        <f>9200</f>
        <v>9200</v>
      </c>
      <c r="K302" s="45">
        <f t="shared" si="20"/>
        <v>9200</v>
      </c>
      <c r="L302" s="46" t="s">
        <v>376</v>
      </c>
    </row>
    <row r="303" spans="1:12" ht="17.399999999999999" hidden="1" x14ac:dyDescent="0.35">
      <c r="A303" s="8" t="str">
        <f t="shared" si="22"/>
        <v>2024</v>
      </c>
      <c r="B303" s="8"/>
      <c r="C303" s="36">
        <v>45606</v>
      </c>
      <c r="D303" s="19" t="s">
        <v>516</v>
      </c>
      <c r="E303" s="15" t="s">
        <v>517</v>
      </c>
      <c r="F303" s="19">
        <v>2024</v>
      </c>
      <c r="G303" s="11">
        <v>14000</v>
      </c>
      <c r="H303" s="20">
        <f t="shared" si="24"/>
        <v>2100</v>
      </c>
      <c r="I303" s="20">
        <f t="shared" si="23"/>
        <v>16100</v>
      </c>
      <c r="J303" s="11"/>
      <c r="K303" s="21">
        <f t="shared" si="20"/>
        <v>16100</v>
      </c>
      <c r="L303" s="1" t="s">
        <v>15</v>
      </c>
    </row>
    <row r="304" spans="1:12" ht="17.399999999999999" hidden="1" x14ac:dyDescent="0.35">
      <c r="A304" s="8" t="str">
        <f t="shared" si="22"/>
        <v>2024</v>
      </c>
      <c r="B304" s="8"/>
      <c r="C304" s="36">
        <v>45606</v>
      </c>
      <c r="D304" s="19" t="s">
        <v>518</v>
      </c>
      <c r="E304" s="15" t="s">
        <v>519</v>
      </c>
      <c r="F304" s="19">
        <v>2024</v>
      </c>
      <c r="G304" s="11"/>
      <c r="H304" s="20">
        <f t="shared" si="24"/>
        <v>0</v>
      </c>
      <c r="I304" s="20">
        <f t="shared" si="23"/>
        <v>0</v>
      </c>
      <c r="J304" s="11"/>
      <c r="K304" s="21">
        <f t="shared" si="20"/>
        <v>0</v>
      </c>
      <c r="L304" s="1" t="s">
        <v>15</v>
      </c>
    </row>
    <row r="305" spans="1:12" ht="17.399999999999999" hidden="1" x14ac:dyDescent="0.35">
      <c r="A305" s="8" t="str">
        <f t="shared" si="22"/>
        <v>2024</v>
      </c>
      <c r="B305" s="8"/>
      <c r="C305" s="36">
        <v>45606</v>
      </c>
      <c r="D305" s="19" t="s">
        <v>520</v>
      </c>
      <c r="E305" s="15" t="s">
        <v>521</v>
      </c>
      <c r="F305" s="19">
        <v>2024</v>
      </c>
      <c r="G305" s="11"/>
      <c r="H305" s="20">
        <f t="shared" si="24"/>
        <v>0</v>
      </c>
      <c r="I305" s="20">
        <f t="shared" si="23"/>
        <v>0</v>
      </c>
      <c r="J305" s="11"/>
      <c r="K305" s="21">
        <f t="shared" si="20"/>
        <v>0</v>
      </c>
      <c r="L305" s="1" t="s">
        <v>15</v>
      </c>
    </row>
    <row r="306" spans="1:12" s="47" customFormat="1" ht="17.399999999999999" x14ac:dyDescent="0.35">
      <c r="A306" s="41" t="str">
        <f t="shared" si="22"/>
        <v>2024</v>
      </c>
      <c r="B306" s="41"/>
      <c r="C306" s="42">
        <v>45607</v>
      </c>
      <c r="D306" s="41" t="s">
        <v>522</v>
      </c>
      <c r="E306" s="43" t="s">
        <v>523</v>
      </c>
      <c r="F306" s="19">
        <v>2024</v>
      </c>
      <c r="G306" s="44">
        <v>15000</v>
      </c>
      <c r="H306" s="44">
        <f t="shared" si="24"/>
        <v>2250</v>
      </c>
      <c r="I306" s="44">
        <f t="shared" si="23"/>
        <v>17250</v>
      </c>
      <c r="J306" s="44">
        <f>8625+8625</f>
        <v>17250</v>
      </c>
      <c r="K306" s="45">
        <f t="shared" si="20"/>
        <v>0</v>
      </c>
      <c r="L306" s="46" t="s">
        <v>382</v>
      </c>
    </row>
    <row r="307" spans="1:12" s="47" customFormat="1" ht="17.399999999999999" x14ac:dyDescent="0.35">
      <c r="A307" s="41" t="str">
        <f t="shared" si="22"/>
        <v>تقرير إجراءات</v>
      </c>
      <c r="B307" s="41"/>
      <c r="C307" s="42">
        <v>45606</v>
      </c>
      <c r="D307" s="41" t="s">
        <v>524</v>
      </c>
      <c r="E307" s="43" t="s">
        <v>525</v>
      </c>
      <c r="F307" s="19" t="s">
        <v>526</v>
      </c>
      <c r="G307" s="44">
        <v>20000</v>
      </c>
      <c r="H307" s="44">
        <f t="shared" si="24"/>
        <v>3000</v>
      </c>
      <c r="I307" s="44">
        <f t="shared" si="23"/>
        <v>23000</v>
      </c>
      <c r="J307" s="44">
        <f>11500+11500</f>
        <v>23000</v>
      </c>
      <c r="K307" s="45">
        <f t="shared" si="20"/>
        <v>0</v>
      </c>
      <c r="L307" s="46" t="s">
        <v>205</v>
      </c>
    </row>
    <row r="308" spans="1:12" s="47" customFormat="1" ht="17.399999999999999" x14ac:dyDescent="0.35">
      <c r="A308" s="41" t="str">
        <f t="shared" si="22"/>
        <v>2024</v>
      </c>
      <c r="B308" s="41"/>
      <c r="C308" s="42">
        <v>45606</v>
      </c>
      <c r="D308" s="41" t="s">
        <v>527</v>
      </c>
      <c r="E308" s="43" t="s">
        <v>442</v>
      </c>
      <c r="F308" s="19">
        <v>2024</v>
      </c>
      <c r="G308" s="44">
        <v>12000</v>
      </c>
      <c r="H308" s="44">
        <f t="shared" si="24"/>
        <v>1800</v>
      </c>
      <c r="I308" s="44">
        <f t="shared" si="23"/>
        <v>13800</v>
      </c>
      <c r="J308" s="44">
        <f>6900</f>
        <v>6900</v>
      </c>
      <c r="K308" s="45">
        <f t="shared" si="20"/>
        <v>6900</v>
      </c>
      <c r="L308" s="46" t="s">
        <v>276</v>
      </c>
    </row>
    <row r="309" spans="1:12" s="47" customFormat="1" ht="17.399999999999999" x14ac:dyDescent="0.35">
      <c r="A309" s="41" t="str">
        <f t="shared" si="22"/>
        <v>2024</v>
      </c>
      <c r="B309" s="41"/>
      <c r="C309" s="42">
        <v>45606</v>
      </c>
      <c r="D309" s="41" t="s">
        <v>528</v>
      </c>
      <c r="E309" s="43" t="s">
        <v>389</v>
      </c>
      <c r="F309" s="19">
        <v>2024</v>
      </c>
      <c r="G309" s="44">
        <v>30000</v>
      </c>
      <c r="H309" s="44">
        <f t="shared" si="24"/>
        <v>4500</v>
      </c>
      <c r="I309" s="44">
        <f t="shared" si="23"/>
        <v>34500</v>
      </c>
      <c r="J309" s="44">
        <f>17250+17250</f>
        <v>34500</v>
      </c>
      <c r="K309" s="45">
        <f>I309-J309</f>
        <v>0</v>
      </c>
      <c r="L309" s="46" t="s">
        <v>449</v>
      </c>
    </row>
    <row r="310" spans="1:12" s="47" customFormat="1" ht="17.399999999999999" x14ac:dyDescent="0.35">
      <c r="A310" s="41" t="str">
        <f t="shared" si="22"/>
        <v>44742</v>
      </c>
      <c r="B310" s="41"/>
      <c r="C310" s="42">
        <v>45606</v>
      </c>
      <c r="D310" s="41" t="s">
        <v>529</v>
      </c>
      <c r="E310" s="43" t="s">
        <v>530</v>
      </c>
      <c r="F310" s="18">
        <v>44742</v>
      </c>
      <c r="G310" s="44">
        <v>15000</v>
      </c>
      <c r="H310" s="44">
        <f t="shared" si="24"/>
        <v>2250</v>
      </c>
      <c r="I310" s="44">
        <f t="shared" si="23"/>
        <v>17250</v>
      </c>
      <c r="J310" s="44">
        <f>8625+8625</f>
        <v>17250</v>
      </c>
      <c r="K310" s="45">
        <f t="shared" si="20"/>
        <v>0</v>
      </c>
      <c r="L310" s="46" t="s">
        <v>382</v>
      </c>
    </row>
    <row r="311" spans="1:12" ht="17.399999999999999" hidden="1" x14ac:dyDescent="0.35">
      <c r="A311" s="8" t="str">
        <f t="shared" si="22"/>
        <v>2024</v>
      </c>
      <c r="B311" s="8"/>
      <c r="C311" s="36">
        <v>45645</v>
      </c>
      <c r="D311" s="19" t="s">
        <v>531</v>
      </c>
      <c r="E311" s="15" t="s">
        <v>525</v>
      </c>
      <c r="F311" s="19">
        <v>2024</v>
      </c>
      <c r="G311" s="11">
        <v>35000</v>
      </c>
      <c r="H311" s="20">
        <f t="shared" si="24"/>
        <v>5250</v>
      </c>
      <c r="I311" s="20">
        <f t="shared" si="23"/>
        <v>40250</v>
      </c>
      <c r="J311" s="11"/>
      <c r="K311" s="21">
        <f t="shared" si="20"/>
        <v>40250</v>
      </c>
      <c r="L311" s="1" t="s">
        <v>15</v>
      </c>
    </row>
    <row r="312" spans="1:12" s="47" customFormat="1" ht="17.399999999999999" x14ac:dyDescent="0.35">
      <c r="A312" s="41" t="str">
        <f t="shared" si="22"/>
        <v>2024</v>
      </c>
      <c r="B312" s="41"/>
      <c r="C312" s="42">
        <v>45648</v>
      </c>
      <c r="D312" s="41" t="s">
        <v>532</v>
      </c>
      <c r="E312" s="43" t="s">
        <v>533</v>
      </c>
      <c r="F312" s="19">
        <v>2024</v>
      </c>
      <c r="G312" s="44">
        <v>10500</v>
      </c>
      <c r="H312" s="44">
        <f t="shared" si="24"/>
        <v>1575</v>
      </c>
      <c r="I312" s="44">
        <f t="shared" si="23"/>
        <v>12075</v>
      </c>
      <c r="J312" s="44">
        <f>6037.5+6037.5</f>
        <v>12075</v>
      </c>
      <c r="K312" s="45">
        <f t="shared" si="20"/>
        <v>0</v>
      </c>
      <c r="L312" s="46" t="s">
        <v>449</v>
      </c>
    </row>
    <row r="313" spans="1:12" s="47" customFormat="1" ht="17.399999999999999" x14ac:dyDescent="0.35">
      <c r="A313" s="41" t="str">
        <f t="shared" si="22"/>
        <v>2024</v>
      </c>
      <c r="B313" s="41"/>
      <c r="C313" s="42">
        <v>45651</v>
      </c>
      <c r="D313" s="41" t="s">
        <v>534</v>
      </c>
      <c r="E313" s="43" t="s">
        <v>406</v>
      </c>
      <c r="F313" s="19">
        <v>2024</v>
      </c>
      <c r="G313" s="44">
        <v>35000</v>
      </c>
      <c r="H313" s="44">
        <f t="shared" si="24"/>
        <v>5250</v>
      </c>
      <c r="I313" s="44">
        <f t="shared" si="23"/>
        <v>40250</v>
      </c>
      <c r="J313" s="44">
        <f>20125+20125</f>
        <v>40250</v>
      </c>
      <c r="K313" s="45">
        <f t="shared" si="20"/>
        <v>0</v>
      </c>
      <c r="L313" s="46" t="s">
        <v>449</v>
      </c>
    </row>
    <row r="314" spans="1:12" s="47" customFormat="1" ht="17.399999999999999" x14ac:dyDescent="0.35">
      <c r="A314" s="41" t="str">
        <f t="shared" si="22"/>
        <v>2024</v>
      </c>
      <c r="B314" s="41"/>
      <c r="C314" s="42">
        <v>45654</v>
      </c>
      <c r="D314" s="41" t="s">
        <v>535</v>
      </c>
      <c r="E314" s="43" t="s">
        <v>414</v>
      </c>
      <c r="F314" s="19">
        <v>2024</v>
      </c>
      <c r="G314" s="44">
        <v>12500</v>
      </c>
      <c r="H314" s="44">
        <f t="shared" si="24"/>
        <v>1875</v>
      </c>
      <c r="I314" s="44">
        <f t="shared" si="23"/>
        <v>14375</v>
      </c>
      <c r="J314" s="44">
        <f>7187.5+7187.5</f>
        <v>14375</v>
      </c>
      <c r="K314" s="45">
        <f t="shared" si="20"/>
        <v>0</v>
      </c>
      <c r="L314" s="46" t="s">
        <v>382</v>
      </c>
    </row>
    <row r="315" spans="1:12" s="47" customFormat="1" ht="17.399999999999999" x14ac:dyDescent="0.35">
      <c r="A315" s="41" t="str">
        <f t="shared" si="22"/>
        <v>2024</v>
      </c>
      <c r="B315" s="41"/>
      <c r="C315" s="42">
        <v>45658</v>
      </c>
      <c r="D315" s="41" t="s">
        <v>536</v>
      </c>
      <c r="E315" s="43" t="s">
        <v>396</v>
      </c>
      <c r="F315" s="19">
        <v>2024</v>
      </c>
      <c r="G315" s="44">
        <v>10000</v>
      </c>
      <c r="H315" s="44">
        <f t="shared" si="24"/>
        <v>1500</v>
      </c>
      <c r="I315" s="44">
        <f t="shared" si="23"/>
        <v>11500</v>
      </c>
      <c r="J315" s="44">
        <f>5750+5750</f>
        <v>11500</v>
      </c>
      <c r="K315" s="45">
        <f t="shared" si="20"/>
        <v>0</v>
      </c>
      <c r="L315" s="46" t="s">
        <v>449</v>
      </c>
    </row>
    <row r="316" spans="1:12" ht="17.399999999999999" hidden="1" x14ac:dyDescent="0.35">
      <c r="A316" s="8" t="str">
        <f t="shared" si="22"/>
        <v>2024</v>
      </c>
      <c r="B316" s="8"/>
      <c r="C316" s="36">
        <v>45658</v>
      </c>
      <c r="D316" s="19" t="s">
        <v>537</v>
      </c>
      <c r="E316" s="15" t="s">
        <v>394</v>
      </c>
      <c r="F316" s="19">
        <v>2024</v>
      </c>
      <c r="G316" s="11">
        <v>10000</v>
      </c>
      <c r="H316" s="20">
        <f t="shared" si="24"/>
        <v>1500</v>
      </c>
      <c r="I316" s="20">
        <f t="shared" si="23"/>
        <v>11500</v>
      </c>
      <c r="J316" s="11"/>
      <c r="K316" s="21">
        <f t="shared" si="20"/>
        <v>11500</v>
      </c>
      <c r="L316" s="1" t="s">
        <v>376</v>
      </c>
    </row>
    <row r="317" spans="1:12" ht="17.399999999999999" hidden="1" x14ac:dyDescent="0.35">
      <c r="A317" s="8" t="str">
        <f t="shared" si="22"/>
        <v>2024</v>
      </c>
      <c r="B317" s="8"/>
      <c r="C317" s="36">
        <v>45658</v>
      </c>
      <c r="D317" s="19" t="s">
        <v>538</v>
      </c>
      <c r="E317" s="15" t="s">
        <v>398</v>
      </c>
      <c r="F317" s="19">
        <v>2024</v>
      </c>
      <c r="G317" s="11">
        <v>15000</v>
      </c>
      <c r="H317" s="20">
        <f t="shared" si="24"/>
        <v>2250</v>
      </c>
      <c r="I317" s="20">
        <f t="shared" si="23"/>
        <v>17250</v>
      </c>
      <c r="J317" s="11"/>
      <c r="K317" s="21">
        <f t="shared" si="20"/>
        <v>17250</v>
      </c>
      <c r="L317" s="1" t="s">
        <v>376</v>
      </c>
    </row>
    <row r="318" spans="1:12" s="47" customFormat="1" ht="17.399999999999999" x14ac:dyDescent="0.35">
      <c r="A318" s="41" t="str">
        <f t="shared" si="22"/>
        <v>تقرير إجراءات</v>
      </c>
      <c r="B318" s="41"/>
      <c r="C318" s="42">
        <v>45658</v>
      </c>
      <c r="D318" s="41" t="s">
        <v>539</v>
      </c>
      <c r="E318" s="43" t="s">
        <v>540</v>
      </c>
      <c r="F318" s="19" t="s">
        <v>526</v>
      </c>
      <c r="G318" s="44">
        <v>10000</v>
      </c>
      <c r="H318" s="44">
        <f t="shared" si="24"/>
        <v>1500</v>
      </c>
      <c r="I318" s="44">
        <f t="shared" si="23"/>
        <v>11500</v>
      </c>
      <c r="J318" s="44">
        <f>11500</f>
        <v>11500</v>
      </c>
      <c r="K318" s="45">
        <f t="shared" si="20"/>
        <v>0</v>
      </c>
      <c r="L318" s="46" t="s">
        <v>382</v>
      </c>
    </row>
    <row r="319" spans="1:12" s="47" customFormat="1" ht="17.399999999999999" x14ac:dyDescent="0.35">
      <c r="A319" s="41" t="str">
        <f t="shared" si="22"/>
        <v>2024</v>
      </c>
      <c r="B319" s="41"/>
      <c r="C319" s="42">
        <v>45659</v>
      </c>
      <c r="D319" s="41" t="s">
        <v>541</v>
      </c>
      <c r="E319" s="43" t="s">
        <v>542</v>
      </c>
      <c r="F319" s="19">
        <v>2024</v>
      </c>
      <c r="G319" s="44">
        <v>7500</v>
      </c>
      <c r="H319" s="44">
        <f t="shared" si="24"/>
        <v>1125</v>
      </c>
      <c r="I319" s="44">
        <f t="shared" si="23"/>
        <v>8625</v>
      </c>
      <c r="J319" s="44">
        <f>4312.5+4312.5</f>
        <v>8625</v>
      </c>
      <c r="K319" s="45">
        <f t="shared" si="20"/>
        <v>0</v>
      </c>
      <c r="L319" s="46" t="s">
        <v>449</v>
      </c>
    </row>
    <row r="320" spans="1:12" s="47" customFormat="1" ht="17.399999999999999" x14ac:dyDescent="0.35">
      <c r="A320" s="41" t="str">
        <f t="shared" si="22"/>
        <v>2025</v>
      </c>
      <c r="B320" s="41"/>
      <c r="C320" s="42">
        <v>45659</v>
      </c>
      <c r="D320" s="41" t="s">
        <v>543</v>
      </c>
      <c r="E320" s="43" t="s">
        <v>348</v>
      </c>
      <c r="F320" s="19">
        <v>2025</v>
      </c>
      <c r="G320" s="44">
        <v>15000</v>
      </c>
      <c r="H320" s="44">
        <f t="shared" si="24"/>
        <v>2250</v>
      </c>
      <c r="I320" s="44">
        <f t="shared" si="23"/>
        <v>17250</v>
      </c>
      <c r="J320" s="44">
        <f>8625</f>
        <v>8625</v>
      </c>
      <c r="K320" s="45">
        <f t="shared" si="20"/>
        <v>8625</v>
      </c>
      <c r="L320" s="46" t="s">
        <v>276</v>
      </c>
    </row>
    <row r="321" spans="1:12" ht="17.399999999999999" hidden="1" x14ac:dyDescent="0.35">
      <c r="A321" s="8" t="str">
        <f t="shared" si="22"/>
        <v>2024</v>
      </c>
      <c r="B321" s="8"/>
      <c r="C321" s="36">
        <v>45663</v>
      </c>
      <c r="D321" s="19" t="s">
        <v>544</v>
      </c>
      <c r="E321" s="15" t="s">
        <v>47</v>
      </c>
      <c r="F321" s="19">
        <v>2024</v>
      </c>
      <c r="G321" s="11">
        <v>20000</v>
      </c>
      <c r="H321" s="20">
        <f t="shared" si="24"/>
        <v>3000</v>
      </c>
      <c r="I321" s="20">
        <f t="shared" si="23"/>
        <v>23000</v>
      </c>
      <c r="J321" s="11"/>
      <c r="K321" s="21">
        <f t="shared" si="20"/>
        <v>23000</v>
      </c>
      <c r="L321" s="1" t="s">
        <v>376</v>
      </c>
    </row>
    <row r="322" spans="1:12" s="47" customFormat="1" ht="17.399999999999999" x14ac:dyDescent="0.35">
      <c r="A322" s="41" t="str">
        <f t="shared" ref="A322:A352" si="25">B322&amp;F322</f>
        <v>2024</v>
      </c>
      <c r="B322" s="41"/>
      <c r="C322" s="42">
        <v>45669</v>
      </c>
      <c r="D322" s="41" t="s">
        <v>545</v>
      </c>
      <c r="E322" s="43" t="s">
        <v>444</v>
      </c>
      <c r="F322" s="19">
        <v>2024</v>
      </c>
      <c r="G322" s="44">
        <v>10000</v>
      </c>
      <c r="H322" s="44">
        <f t="shared" si="24"/>
        <v>1500</v>
      </c>
      <c r="I322" s="44">
        <f t="shared" si="23"/>
        <v>11500</v>
      </c>
      <c r="J322" s="44">
        <f>5750+5750</f>
        <v>11500</v>
      </c>
      <c r="K322" s="45">
        <f t="shared" si="20"/>
        <v>0</v>
      </c>
      <c r="L322" s="46" t="s">
        <v>449</v>
      </c>
    </row>
    <row r="323" spans="1:12" s="47" customFormat="1" ht="17.399999999999999" x14ac:dyDescent="0.35">
      <c r="A323" s="41" t="str">
        <f t="shared" si="25"/>
        <v>2024</v>
      </c>
      <c r="B323" s="41"/>
      <c r="C323" s="42">
        <v>45672</v>
      </c>
      <c r="D323" s="41" t="s">
        <v>546</v>
      </c>
      <c r="E323" s="43" t="s">
        <v>472</v>
      </c>
      <c r="F323" s="19">
        <v>2024</v>
      </c>
      <c r="G323" s="44">
        <v>10000</v>
      </c>
      <c r="H323" s="44">
        <f t="shared" si="24"/>
        <v>1500</v>
      </c>
      <c r="I323" s="44">
        <f t="shared" si="23"/>
        <v>11500</v>
      </c>
      <c r="J323" s="44">
        <f>5750+5750</f>
        <v>11500</v>
      </c>
      <c r="K323" s="45">
        <f t="shared" si="20"/>
        <v>0</v>
      </c>
      <c r="L323" s="46" t="s">
        <v>449</v>
      </c>
    </row>
    <row r="324" spans="1:12" s="47" customFormat="1" ht="17.399999999999999" x14ac:dyDescent="0.35">
      <c r="A324" s="41" t="str">
        <f t="shared" si="25"/>
        <v>2024</v>
      </c>
      <c r="B324" s="41"/>
      <c r="C324" s="42">
        <v>45677</v>
      </c>
      <c r="D324" s="41" t="s">
        <v>547</v>
      </c>
      <c r="E324" s="43" t="s">
        <v>289</v>
      </c>
      <c r="F324" s="19">
        <v>2024</v>
      </c>
      <c r="G324" s="44">
        <v>12000</v>
      </c>
      <c r="H324" s="44">
        <f t="shared" si="24"/>
        <v>1800</v>
      </c>
      <c r="I324" s="44">
        <f t="shared" si="23"/>
        <v>13800</v>
      </c>
      <c r="J324" s="44">
        <f>6900+6900</f>
        <v>13800</v>
      </c>
      <c r="K324" s="45">
        <f t="shared" si="20"/>
        <v>0</v>
      </c>
      <c r="L324" s="46" t="s">
        <v>449</v>
      </c>
    </row>
    <row r="325" spans="1:12" s="47" customFormat="1" ht="17.399999999999999" x14ac:dyDescent="0.35">
      <c r="A325" s="41" t="str">
        <f t="shared" si="25"/>
        <v>2024</v>
      </c>
      <c r="B325" s="41"/>
      <c r="C325" s="42">
        <v>45678</v>
      </c>
      <c r="D325" s="41" t="s">
        <v>548</v>
      </c>
      <c r="E325" s="43" t="s">
        <v>549</v>
      </c>
      <c r="F325" s="19">
        <v>2024</v>
      </c>
      <c r="G325" s="44">
        <v>10000</v>
      </c>
      <c r="H325" s="44">
        <f t="shared" si="24"/>
        <v>1500</v>
      </c>
      <c r="I325" s="44">
        <f t="shared" ref="I325:I352" si="26">H325+G325</f>
        <v>11500</v>
      </c>
      <c r="J325" s="44">
        <f>5750+5750</f>
        <v>11500</v>
      </c>
      <c r="K325" s="45">
        <f t="shared" si="20"/>
        <v>0</v>
      </c>
      <c r="L325" s="46" t="s">
        <v>449</v>
      </c>
    </row>
    <row r="326" spans="1:12" s="47" customFormat="1" ht="17.399999999999999" x14ac:dyDescent="0.35">
      <c r="A326" s="41" t="str">
        <f t="shared" si="25"/>
        <v>2024</v>
      </c>
      <c r="B326" s="41"/>
      <c r="C326" s="42">
        <v>45679</v>
      </c>
      <c r="D326" s="41" t="s">
        <v>550</v>
      </c>
      <c r="E326" s="43" t="s">
        <v>71</v>
      </c>
      <c r="F326" s="19">
        <v>2024</v>
      </c>
      <c r="G326" s="44">
        <v>14500</v>
      </c>
      <c r="H326" s="44">
        <f t="shared" si="24"/>
        <v>2175</v>
      </c>
      <c r="I326" s="44">
        <f t="shared" si="26"/>
        <v>16675</v>
      </c>
      <c r="J326" s="44">
        <f>8337.5</f>
        <v>8337.5</v>
      </c>
      <c r="K326" s="45">
        <f t="shared" si="20"/>
        <v>8337.5</v>
      </c>
      <c r="L326" s="46" t="s">
        <v>462</v>
      </c>
    </row>
    <row r="327" spans="1:12" s="55" customFormat="1" ht="17.399999999999999" x14ac:dyDescent="0.35">
      <c r="A327" s="48" t="str">
        <f t="shared" si="25"/>
        <v>2024</v>
      </c>
      <c r="B327" s="48"/>
      <c r="C327" s="54">
        <v>45679</v>
      </c>
      <c r="D327" s="26" t="s">
        <v>551</v>
      </c>
      <c r="E327" s="25" t="s">
        <v>321</v>
      </c>
      <c r="F327" s="19">
        <v>2024</v>
      </c>
      <c r="G327" s="27">
        <v>10000</v>
      </c>
      <c r="H327" s="52">
        <f t="shared" si="24"/>
        <v>1500</v>
      </c>
      <c r="I327" s="52">
        <f t="shared" si="26"/>
        <v>11500</v>
      </c>
      <c r="J327" s="27">
        <f>5750</f>
        <v>5750</v>
      </c>
      <c r="K327" s="28">
        <f t="shared" si="20"/>
        <v>5750</v>
      </c>
      <c r="L327" s="35" t="s">
        <v>462</v>
      </c>
    </row>
    <row r="328" spans="1:12" s="55" customFormat="1" ht="17.399999999999999" x14ac:dyDescent="0.35">
      <c r="A328" s="48" t="str">
        <f t="shared" si="25"/>
        <v>2024</v>
      </c>
      <c r="B328" s="48"/>
      <c r="C328" s="54">
        <v>45679</v>
      </c>
      <c r="D328" s="26" t="s">
        <v>552</v>
      </c>
      <c r="E328" s="25" t="s">
        <v>319</v>
      </c>
      <c r="F328" s="19">
        <v>2024</v>
      </c>
      <c r="G328" s="27">
        <v>13000</v>
      </c>
      <c r="H328" s="52">
        <f t="shared" si="24"/>
        <v>1950</v>
      </c>
      <c r="I328" s="52">
        <f t="shared" si="26"/>
        <v>14950</v>
      </c>
      <c r="J328" s="27">
        <f>7475</f>
        <v>7475</v>
      </c>
      <c r="K328" s="28">
        <f t="shared" si="20"/>
        <v>7475</v>
      </c>
      <c r="L328" s="35" t="s">
        <v>462</v>
      </c>
    </row>
    <row r="329" spans="1:12" s="47" customFormat="1" ht="17.399999999999999" x14ac:dyDescent="0.35">
      <c r="A329" s="41" t="str">
        <f t="shared" si="25"/>
        <v>2024</v>
      </c>
      <c r="B329" s="41"/>
      <c r="C329" s="42">
        <v>45679</v>
      </c>
      <c r="D329" s="41" t="s">
        <v>553</v>
      </c>
      <c r="E329" s="43" t="s">
        <v>31</v>
      </c>
      <c r="F329" s="19">
        <v>2024</v>
      </c>
      <c r="G329" s="44">
        <v>15000</v>
      </c>
      <c r="H329" s="44">
        <f t="shared" si="24"/>
        <v>2250</v>
      </c>
      <c r="I329" s="44">
        <f t="shared" si="26"/>
        <v>17250</v>
      </c>
      <c r="J329" s="44">
        <f>8625</f>
        <v>8625</v>
      </c>
      <c r="K329" s="45">
        <f t="shared" si="20"/>
        <v>8625</v>
      </c>
      <c r="L329" s="46" t="s">
        <v>462</v>
      </c>
    </row>
    <row r="330" spans="1:12" s="55" customFormat="1" ht="17.399999999999999" x14ac:dyDescent="0.35">
      <c r="A330" s="48" t="str">
        <f t="shared" si="25"/>
        <v>45107</v>
      </c>
      <c r="B330" s="48"/>
      <c r="C330" s="54">
        <v>45685</v>
      </c>
      <c r="D330" s="26" t="s">
        <v>587</v>
      </c>
      <c r="E330" s="25" t="s">
        <v>530</v>
      </c>
      <c r="F330" s="18">
        <v>45107</v>
      </c>
      <c r="G330" s="27">
        <v>15000</v>
      </c>
      <c r="H330" s="52">
        <f t="shared" si="24"/>
        <v>2250</v>
      </c>
      <c r="I330" s="52">
        <f t="shared" si="26"/>
        <v>17250</v>
      </c>
      <c r="J330" s="27">
        <f>8625</f>
        <v>8625</v>
      </c>
      <c r="K330" s="28">
        <f t="shared" si="20"/>
        <v>8625</v>
      </c>
      <c r="L330" s="35" t="s">
        <v>376</v>
      </c>
    </row>
    <row r="331" spans="1:12" s="47" customFormat="1" ht="17.399999999999999" x14ac:dyDescent="0.35">
      <c r="A331" s="41" t="str">
        <f t="shared" si="25"/>
        <v>2023</v>
      </c>
      <c r="B331" s="41"/>
      <c r="C331" s="42">
        <v>45686</v>
      </c>
      <c r="D331" s="41" t="s">
        <v>554</v>
      </c>
      <c r="E331" s="43" t="s">
        <v>555</v>
      </c>
      <c r="F331" s="19">
        <v>2023</v>
      </c>
      <c r="G331" s="44">
        <f>6500/1.15</f>
        <v>5652.1739130434789</v>
      </c>
      <c r="H331" s="44">
        <f t="shared" si="24"/>
        <v>847.82608695652186</v>
      </c>
      <c r="I331" s="44">
        <f t="shared" si="26"/>
        <v>6500.0000000000009</v>
      </c>
      <c r="J331" s="44">
        <f>3000+3500</f>
        <v>6500</v>
      </c>
      <c r="K331" s="45">
        <f t="shared" si="20"/>
        <v>0</v>
      </c>
      <c r="L331" s="46" t="s">
        <v>449</v>
      </c>
    </row>
    <row r="332" spans="1:12" s="47" customFormat="1" ht="17.399999999999999" x14ac:dyDescent="0.35">
      <c r="A332" s="41" t="str">
        <f t="shared" si="25"/>
        <v>2024</v>
      </c>
      <c r="B332" s="41"/>
      <c r="C332" s="42">
        <v>45686</v>
      </c>
      <c r="D332" s="41" t="s">
        <v>556</v>
      </c>
      <c r="E332" s="43" t="s">
        <v>246</v>
      </c>
      <c r="F332" s="19">
        <v>2024</v>
      </c>
      <c r="G332" s="44">
        <v>15000</v>
      </c>
      <c r="H332" s="44">
        <f t="shared" si="24"/>
        <v>2250</v>
      </c>
      <c r="I332" s="44">
        <f t="shared" si="26"/>
        <v>17250</v>
      </c>
      <c r="J332" s="44">
        <f>8625</f>
        <v>8625</v>
      </c>
      <c r="K332" s="45">
        <f t="shared" si="20"/>
        <v>8625</v>
      </c>
      <c r="L332" s="46" t="s">
        <v>462</v>
      </c>
    </row>
    <row r="333" spans="1:12" s="47" customFormat="1" ht="17.399999999999999" x14ac:dyDescent="0.35">
      <c r="A333" s="41" t="str">
        <f t="shared" si="25"/>
        <v>2023</v>
      </c>
      <c r="B333" s="41"/>
      <c r="C333" s="42">
        <v>45687</v>
      </c>
      <c r="D333" s="41" t="s">
        <v>557</v>
      </c>
      <c r="E333" s="43" t="s">
        <v>558</v>
      </c>
      <c r="F333" s="19">
        <v>2023</v>
      </c>
      <c r="G333" s="44">
        <v>15000</v>
      </c>
      <c r="H333" s="44">
        <f t="shared" si="24"/>
        <v>2250</v>
      </c>
      <c r="I333" s="44">
        <f t="shared" si="26"/>
        <v>17250</v>
      </c>
      <c r="J333" s="44">
        <f>8625</f>
        <v>8625</v>
      </c>
      <c r="K333" s="45">
        <f t="shared" si="20"/>
        <v>8625</v>
      </c>
      <c r="L333" s="46" t="s">
        <v>276</v>
      </c>
    </row>
    <row r="334" spans="1:12" s="55" customFormat="1" ht="17.399999999999999" x14ac:dyDescent="0.35">
      <c r="A334" s="48" t="str">
        <f t="shared" si="25"/>
        <v>2018-2024</v>
      </c>
      <c r="B334" s="48"/>
      <c r="C334" s="54">
        <v>45693</v>
      </c>
      <c r="D334" s="26" t="s">
        <v>559</v>
      </c>
      <c r="E334" s="25" t="s">
        <v>19</v>
      </c>
      <c r="F334" s="19" t="s">
        <v>560</v>
      </c>
      <c r="G334" s="27">
        <f>35000/1.15</f>
        <v>30434.782608695656</v>
      </c>
      <c r="H334" s="52">
        <f t="shared" si="24"/>
        <v>4565.217391304348</v>
      </c>
      <c r="I334" s="52">
        <f t="shared" si="26"/>
        <v>35000</v>
      </c>
      <c r="J334" s="27">
        <f>20000+15000</f>
        <v>35000</v>
      </c>
      <c r="K334" s="28">
        <f t="shared" si="20"/>
        <v>0</v>
      </c>
      <c r="L334" s="35" t="s">
        <v>449</v>
      </c>
    </row>
    <row r="335" spans="1:12" ht="17.399999999999999" hidden="1" x14ac:dyDescent="0.35">
      <c r="A335" s="8" t="str">
        <f t="shared" si="25"/>
        <v>2024</v>
      </c>
      <c r="B335" s="8"/>
      <c r="C335" s="36">
        <v>45697</v>
      </c>
      <c r="D335" s="19" t="s">
        <v>561</v>
      </c>
      <c r="E335" s="15" t="s">
        <v>193</v>
      </c>
      <c r="F335" s="19">
        <v>2024</v>
      </c>
      <c r="G335" s="11">
        <v>14000</v>
      </c>
      <c r="H335" s="20">
        <f t="shared" si="24"/>
        <v>2100</v>
      </c>
      <c r="I335" s="20">
        <f t="shared" si="26"/>
        <v>16100</v>
      </c>
      <c r="J335" s="11"/>
      <c r="K335" s="21">
        <f t="shared" si="20"/>
        <v>16100</v>
      </c>
      <c r="L335" s="1" t="s">
        <v>376</v>
      </c>
    </row>
    <row r="336" spans="1:12" s="47" customFormat="1" ht="17.399999999999999" x14ac:dyDescent="0.35">
      <c r="A336" s="41" t="str">
        <f t="shared" si="25"/>
        <v>2024</v>
      </c>
      <c r="B336" s="41"/>
      <c r="C336" s="42">
        <v>45699</v>
      </c>
      <c r="D336" s="41" t="s">
        <v>562</v>
      </c>
      <c r="E336" s="43" t="s">
        <v>196</v>
      </c>
      <c r="F336" s="19">
        <v>2024</v>
      </c>
      <c r="G336" s="44">
        <v>13500</v>
      </c>
      <c r="H336" s="44">
        <f t="shared" si="24"/>
        <v>2025</v>
      </c>
      <c r="I336" s="44">
        <f t="shared" si="26"/>
        <v>15525</v>
      </c>
      <c r="J336" s="44">
        <f>7762</f>
        <v>7762</v>
      </c>
      <c r="K336" s="45">
        <f t="shared" si="20"/>
        <v>7763</v>
      </c>
      <c r="L336" s="46" t="s">
        <v>376</v>
      </c>
    </row>
    <row r="337" spans="1:12" s="47" customFormat="1" ht="17.399999999999999" x14ac:dyDescent="0.35">
      <c r="A337" s="41" t="str">
        <f t="shared" si="25"/>
        <v>2024</v>
      </c>
      <c r="B337" s="41"/>
      <c r="C337" s="42">
        <v>45699</v>
      </c>
      <c r="D337" s="41" t="s">
        <v>563</v>
      </c>
      <c r="E337" s="43" t="s">
        <v>476</v>
      </c>
      <c r="F337" s="19">
        <v>2024</v>
      </c>
      <c r="G337" s="44">
        <v>10000</v>
      </c>
      <c r="H337" s="44">
        <f t="shared" si="24"/>
        <v>1500</v>
      </c>
      <c r="I337" s="44">
        <f t="shared" si="26"/>
        <v>11500</v>
      </c>
      <c r="J337" s="44">
        <f>5750</f>
        <v>5750</v>
      </c>
      <c r="K337" s="45">
        <f t="shared" si="20"/>
        <v>5750</v>
      </c>
      <c r="L337" s="46" t="s">
        <v>376</v>
      </c>
    </row>
    <row r="338" spans="1:12" s="47" customFormat="1" ht="17.399999999999999" x14ac:dyDescent="0.35">
      <c r="A338" s="41" t="str">
        <f t="shared" si="25"/>
        <v>2024</v>
      </c>
      <c r="B338" s="41"/>
      <c r="C338" s="42">
        <v>45719</v>
      </c>
      <c r="D338" s="41" t="s">
        <v>564</v>
      </c>
      <c r="E338" s="43" t="s">
        <v>409</v>
      </c>
      <c r="F338" s="19">
        <v>2024</v>
      </c>
      <c r="G338" s="44">
        <v>8000</v>
      </c>
      <c r="H338" s="44">
        <f t="shared" si="24"/>
        <v>1200</v>
      </c>
      <c r="I338" s="44">
        <f t="shared" si="26"/>
        <v>9200</v>
      </c>
      <c r="J338" s="44">
        <f>4600+4600</f>
        <v>9200</v>
      </c>
      <c r="K338" s="45">
        <f t="shared" si="20"/>
        <v>0</v>
      </c>
      <c r="L338" s="46" t="s">
        <v>449</v>
      </c>
    </row>
    <row r="339" spans="1:12" ht="17.399999999999999" hidden="1" x14ac:dyDescent="0.35">
      <c r="A339" s="8" t="str">
        <f t="shared" si="25"/>
        <v>2025-2028</v>
      </c>
      <c r="B339" s="8"/>
      <c r="C339" s="36">
        <v>45721</v>
      </c>
      <c r="D339" s="19" t="s">
        <v>564</v>
      </c>
      <c r="E339" s="15" t="s">
        <v>565</v>
      </c>
      <c r="F339" s="19" t="s">
        <v>566</v>
      </c>
      <c r="G339" s="11">
        <f>11000*36</f>
        <v>396000</v>
      </c>
      <c r="H339" s="20">
        <f t="shared" si="24"/>
        <v>59400</v>
      </c>
      <c r="I339" s="20">
        <f t="shared" si="26"/>
        <v>455400</v>
      </c>
      <c r="J339" s="11"/>
      <c r="K339" s="21">
        <f t="shared" si="20"/>
        <v>455400</v>
      </c>
      <c r="L339" s="1" t="s">
        <v>567</v>
      </c>
    </row>
    <row r="340" spans="1:12" ht="17.399999999999999" hidden="1" x14ac:dyDescent="0.35">
      <c r="A340" s="8" t="str">
        <f t="shared" si="25"/>
        <v>2024</v>
      </c>
      <c r="B340" s="8"/>
      <c r="C340" s="36">
        <v>45729</v>
      </c>
      <c r="D340" s="19" t="s">
        <v>568</v>
      </c>
      <c r="E340" s="32" t="s">
        <v>569</v>
      </c>
      <c r="F340" s="19">
        <v>2024</v>
      </c>
      <c r="G340" s="11">
        <v>15000</v>
      </c>
      <c r="H340" s="20">
        <f t="shared" si="24"/>
        <v>2250</v>
      </c>
      <c r="I340" s="20">
        <f t="shared" si="26"/>
        <v>17250</v>
      </c>
      <c r="J340" s="11"/>
      <c r="K340" s="21">
        <f t="shared" si="20"/>
        <v>17250</v>
      </c>
      <c r="L340" s="1" t="s">
        <v>376</v>
      </c>
    </row>
    <row r="341" spans="1:12" s="47" customFormat="1" ht="17.399999999999999" x14ac:dyDescent="0.35">
      <c r="A341" s="41" t="str">
        <f t="shared" si="25"/>
        <v>2024</v>
      </c>
      <c r="B341" s="41"/>
      <c r="C341" s="42">
        <v>45729</v>
      </c>
      <c r="D341" s="41" t="s">
        <v>570</v>
      </c>
      <c r="E341" s="43" t="s">
        <v>571</v>
      </c>
      <c r="F341" s="19">
        <v>2024</v>
      </c>
      <c r="G341" s="44">
        <v>11500</v>
      </c>
      <c r="H341" s="44">
        <f t="shared" si="24"/>
        <v>1725</v>
      </c>
      <c r="I341" s="44">
        <f t="shared" si="26"/>
        <v>13225</v>
      </c>
      <c r="J341" s="44">
        <f>6612+6612.5</f>
        <v>13224.5</v>
      </c>
      <c r="K341" s="45">
        <f t="shared" si="20"/>
        <v>0.5</v>
      </c>
      <c r="L341" s="46" t="s">
        <v>276</v>
      </c>
    </row>
    <row r="342" spans="1:12" ht="17.399999999999999" hidden="1" x14ac:dyDescent="0.35">
      <c r="A342" s="8" t="str">
        <f t="shared" si="25"/>
        <v>2024</v>
      </c>
      <c r="B342" s="8"/>
      <c r="C342" s="36">
        <v>45731</v>
      </c>
      <c r="D342" s="19" t="s">
        <v>572</v>
      </c>
      <c r="E342" s="15" t="s">
        <v>113</v>
      </c>
      <c r="F342" s="19">
        <v>2024</v>
      </c>
      <c r="G342" s="11">
        <v>10000</v>
      </c>
      <c r="H342" s="20">
        <f t="shared" si="24"/>
        <v>1500</v>
      </c>
      <c r="I342" s="20">
        <f t="shared" si="26"/>
        <v>11500</v>
      </c>
      <c r="J342" s="11"/>
      <c r="K342" s="21">
        <f t="shared" si="20"/>
        <v>11500</v>
      </c>
      <c r="L342" s="1" t="s">
        <v>276</v>
      </c>
    </row>
    <row r="343" spans="1:12" s="47" customFormat="1" ht="17.399999999999999" x14ac:dyDescent="0.35">
      <c r="A343" s="41" t="str">
        <f t="shared" si="25"/>
        <v>2024</v>
      </c>
      <c r="B343" s="41"/>
      <c r="C343" s="42">
        <v>45376</v>
      </c>
      <c r="D343" s="41" t="s">
        <v>573</v>
      </c>
      <c r="E343" s="43" t="s">
        <v>457</v>
      </c>
      <c r="F343" s="19">
        <v>2024</v>
      </c>
      <c r="G343" s="44">
        <v>9000</v>
      </c>
      <c r="H343" s="44">
        <f t="shared" si="24"/>
        <v>1350</v>
      </c>
      <c r="I343" s="44">
        <f t="shared" si="26"/>
        <v>10350</v>
      </c>
      <c r="J343" s="44">
        <f>5175</f>
        <v>5175</v>
      </c>
      <c r="K343" s="45">
        <f t="shared" si="20"/>
        <v>5175</v>
      </c>
      <c r="L343" s="46" t="s">
        <v>276</v>
      </c>
    </row>
    <row r="344" spans="1:12" s="47" customFormat="1" ht="17.399999999999999" x14ac:dyDescent="0.35">
      <c r="A344" s="41" t="str">
        <f t="shared" si="25"/>
        <v>2024</v>
      </c>
      <c r="B344" s="41"/>
      <c r="C344" s="42">
        <v>45752</v>
      </c>
      <c r="D344" s="41" t="s">
        <v>574</v>
      </c>
      <c r="E344" s="43" t="s">
        <v>460</v>
      </c>
      <c r="F344" s="19">
        <v>2024</v>
      </c>
      <c r="G344" s="44">
        <v>13000</v>
      </c>
      <c r="H344" s="44">
        <f t="shared" si="24"/>
        <v>1950</v>
      </c>
      <c r="I344" s="44">
        <f t="shared" si="26"/>
        <v>14950</v>
      </c>
      <c r="J344" s="44">
        <f>7475</f>
        <v>7475</v>
      </c>
      <c r="K344" s="45">
        <f t="shared" si="20"/>
        <v>7475</v>
      </c>
      <c r="L344" s="46" t="s">
        <v>276</v>
      </c>
    </row>
    <row r="345" spans="1:12" s="55" customFormat="1" ht="17.399999999999999" x14ac:dyDescent="0.35">
      <c r="A345" s="48" t="str">
        <f t="shared" si="25"/>
        <v>2024</v>
      </c>
      <c r="B345" s="48"/>
      <c r="C345" s="54">
        <v>45752</v>
      </c>
      <c r="D345" s="26" t="s">
        <v>575</v>
      </c>
      <c r="E345" s="25" t="s">
        <v>448</v>
      </c>
      <c r="F345" s="19">
        <v>2024</v>
      </c>
      <c r="G345" s="27">
        <v>12000</v>
      </c>
      <c r="H345" s="52">
        <f t="shared" si="24"/>
        <v>1800</v>
      </c>
      <c r="I345" s="52">
        <f t="shared" si="26"/>
        <v>13800</v>
      </c>
      <c r="J345" s="27">
        <f>6900</f>
        <v>6900</v>
      </c>
      <c r="K345" s="28">
        <f t="shared" si="20"/>
        <v>6900</v>
      </c>
      <c r="L345" s="35" t="s">
        <v>276</v>
      </c>
    </row>
    <row r="346" spans="1:12" ht="17.399999999999999" hidden="1" x14ac:dyDescent="0.35">
      <c r="A346" s="8" t="str">
        <f t="shared" si="25"/>
        <v>2023</v>
      </c>
      <c r="B346" s="8"/>
      <c r="C346" s="36">
        <v>45752</v>
      </c>
      <c r="D346" s="19" t="s">
        <v>576</v>
      </c>
      <c r="E346" s="15" t="s">
        <v>387</v>
      </c>
      <c r="F346" s="19">
        <v>2023</v>
      </c>
      <c r="G346" s="11">
        <f>7000/1.15</f>
        <v>6086.9565217391309</v>
      </c>
      <c r="H346" s="20">
        <f t="shared" ref="H346:H352" si="27">G346*0.15</f>
        <v>913.04347826086962</v>
      </c>
      <c r="I346" s="20">
        <f t="shared" si="26"/>
        <v>7000.0000000000009</v>
      </c>
      <c r="J346" s="11"/>
      <c r="K346" s="21">
        <f t="shared" si="20"/>
        <v>7000.0000000000009</v>
      </c>
      <c r="L346" s="1" t="s">
        <v>276</v>
      </c>
    </row>
    <row r="347" spans="1:12" s="55" customFormat="1" ht="17.399999999999999" x14ac:dyDescent="0.35">
      <c r="A347" s="48" t="str">
        <f t="shared" si="25"/>
        <v>2024</v>
      </c>
      <c r="B347" s="48"/>
      <c r="C347" s="54">
        <v>45756</v>
      </c>
      <c r="D347" s="26" t="s">
        <v>577</v>
      </c>
      <c r="E347" s="25" t="s">
        <v>578</v>
      </c>
      <c r="F347" s="19">
        <v>2024</v>
      </c>
      <c r="G347" s="27">
        <v>13000</v>
      </c>
      <c r="H347" s="52">
        <f t="shared" si="27"/>
        <v>1950</v>
      </c>
      <c r="I347" s="52">
        <f t="shared" si="26"/>
        <v>14950</v>
      </c>
      <c r="J347" s="27">
        <f>7475</f>
        <v>7475</v>
      </c>
      <c r="K347" s="28">
        <f t="shared" si="20"/>
        <v>7475</v>
      </c>
      <c r="L347" s="35" t="s">
        <v>462</v>
      </c>
    </row>
    <row r="348" spans="1:12" s="53" customFormat="1" ht="17.399999999999999" x14ac:dyDescent="0.35">
      <c r="A348" s="49" t="str">
        <f t="shared" si="25"/>
        <v>2024</v>
      </c>
      <c r="B348" s="49"/>
      <c r="C348" s="50">
        <v>45757</v>
      </c>
      <c r="D348" s="26" t="s">
        <v>579</v>
      </c>
      <c r="E348" s="25" t="s">
        <v>580</v>
      </c>
      <c r="F348" s="19">
        <v>2024</v>
      </c>
      <c r="G348" s="51">
        <v>6000</v>
      </c>
      <c r="H348" s="52">
        <f t="shared" si="27"/>
        <v>900</v>
      </c>
      <c r="I348" s="52">
        <f t="shared" si="26"/>
        <v>6900</v>
      </c>
      <c r="J348" s="51">
        <f>3450</f>
        <v>3450</v>
      </c>
      <c r="K348" s="28">
        <f t="shared" si="20"/>
        <v>3450</v>
      </c>
      <c r="L348" s="35" t="s">
        <v>462</v>
      </c>
    </row>
    <row r="349" spans="1:12" ht="17.399999999999999" hidden="1" x14ac:dyDescent="0.35">
      <c r="A349" s="8" t="str">
        <f t="shared" si="25"/>
        <v>2024</v>
      </c>
      <c r="B349" s="8"/>
      <c r="C349" s="36">
        <v>45763</v>
      </c>
      <c r="D349" s="19" t="s">
        <v>581</v>
      </c>
      <c r="E349" s="32" t="s">
        <v>329</v>
      </c>
      <c r="F349" s="19">
        <v>2024</v>
      </c>
      <c r="G349" s="11">
        <v>10000</v>
      </c>
      <c r="H349" s="20">
        <f t="shared" si="27"/>
        <v>1500</v>
      </c>
      <c r="I349" s="20">
        <f t="shared" si="26"/>
        <v>11500</v>
      </c>
      <c r="J349" s="11"/>
      <c r="K349" s="21">
        <f t="shared" si="20"/>
        <v>11500</v>
      </c>
      <c r="L349" s="1" t="s">
        <v>376</v>
      </c>
    </row>
    <row r="350" spans="1:12" s="47" customFormat="1" ht="17.399999999999999" x14ac:dyDescent="0.35">
      <c r="A350" s="41" t="str">
        <f t="shared" si="25"/>
        <v>2024</v>
      </c>
      <c r="B350" s="41"/>
      <c r="C350" s="42">
        <v>45763</v>
      </c>
      <c r="D350" s="41" t="s">
        <v>582</v>
      </c>
      <c r="E350" s="43" t="s">
        <v>353</v>
      </c>
      <c r="F350" s="19">
        <v>2024</v>
      </c>
      <c r="G350" s="44">
        <v>11000</v>
      </c>
      <c r="H350" s="44">
        <f t="shared" si="27"/>
        <v>1650</v>
      </c>
      <c r="I350" s="44">
        <f t="shared" si="26"/>
        <v>12650</v>
      </c>
      <c r="J350" s="44">
        <f>5000</f>
        <v>5000</v>
      </c>
      <c r="K350" s="45">
        <f t="shared" si="20"/>
        <v>7650</v>
      </c>
      <c r="L350" s="46" t="s">
        <v>376</v>
      </c>
    </row>
    <row r="351" spans="1:12" ht="17.399999999999999" hidden="1" x14ac:dyDescent="0.35">
      <c r="A351" s="8" t="str">
        <f t="shared" si="25"/>
        <v>2024</v>
      </c>
      <c r="B351" s="8"/>
      <c r="C351" s="36">
        <v>45763</v>
      </c>
      <c r="D351" s="19" t="s">
        <v>583</v>
      </c>
      <c r="E351" s="15" t="s">
        <v>584</v>
      </c>
      <c r="F351" s="19">
        <v>2024</v>
      </c>
      <c r="G351" s="11">
        <v>8000</v>
      </c>
      <c r="H351" s="20">
        <f t="shared" si="27"/>
        <v>1200</v>
      </c>
      <c r="I351" s="20">
        <f t="shared" si="26"/>
        <v>9200</v>
      </c>
      <c r="J351" s="11"/>
      <c r="K351" s="21">
        <f t="shared" si="20"/>
        <v>9200</v>
      </c>
      <c r="L351" s="1" t="s">
        <v>376</v>
      </c>
    </row>
    <row r="352" spans="1:12" ht="17.399999999999999" hidden="1" x14ac:dyDescent="0.35">
      <c r="A352" s="8" t="str">
        <f t="shared" si="25"/>
        <v>2024</v>
      </c>
      <c r="B352" s="8"/>
      <c r="C352" s="36">
        <v>45763</v>
      </c>
      <c r="D352" s="19" t="s">
        <v>585</v>
      </c>
      <c r="E352" s="15" t="s">
        <v>586</v>
      </c>
      <c r="F352" s="19">
        <v>2024</v>
      </c>
      <c r="G352" s="11">
        <v>10000</v>
      </c>
      <c r="H352" s="20">
        <f t="shared" si="27"/>
        <v>1500</v>
      </c>
      <c r="I352" s="20">
        <f t="shared" si="26"/>
        <v>11500</v>
      </c>
      <c r="J352" s="11"/>
      <c r="K352" s="21">
        <f t="shared" si="20"/>
        <v>11500</v>
      </c>
      <c r="L352" s="1" t="s">
        <v>376</v>
      </c>
    </row>
  </sheetData>
  <autoFilter ref="A1:L352">
    <filterColumn colId="9">
      <filters>
        <filter val="10,000"/>
        <filter val="10,350"/>
        <filter val="10,500"/>
        <filter val="10,925"/>
        <filter val="11,000"/>
        <filter val="11,500"/>
        <filter val="12,000"/>
        <filter val="12,074"/>
        <filter val="12,075"/>
        <filter val="12,076"/>
        <filter val="12,500"/>
        <filter val="12,650"/>
        <filter val="12,800"/>
        <filter val="13,225"/>
        <filter val="13,500"/>
        <filter val="13,700"/>
        <filter val="13,800"/>
        <filter val="13,801"/>
        <filter val="14,250"/>
        <filter val="14,375"/>
        <filter val="14,950"/>
        <filter val="15,333"/>
        <filter val="15,525"/>
        <filter val="16,100"/>
        <filter val="16,675"/>
        <filter val="17,250"/>
        <filter val="17,500"/>
        <filter val="18,400"/>
        <filter val="19,550"/>
        <filter val="20,700"/>
        <filter val="23,000"/>
        <filter val="27,600"/>
        <filter val="28,750"/>
        <filter val="3,450"/>
        <filter val="32,200"/>
        <filter val="34,500"/>
        <filter val="35,000"/>
        <filter val="36,800"/>
        <filter val="4,000"/>
        <filter val="4,500"/>
        <filter val="4,725"/>
        <filter val="40,250"/>
        <filter val="46,000"/>
        <filter val="5,000"/>
        <filter val="5,175"/>
        <filter val="5,250"/>
        <filter val="5,750"/>
        <filter val="57,500"/>
        <filter val="6,000"/>
        <filter val="6,400"/>
        <filter val="6,500"/>
        <filter val="6,900"/>
        <filter val="63,250"/>
        <filter val="7,000"/>
        <filter val="7,475"/>
        <filter val="7,762"/>
        <filter val="8,000"/>
        <filter val="8,050"/>
        <filter val="8,338"/>
        <filter val="8,500"/>
        <filter val="8,600"/>
        <filter val="8,625"/>
        <filter val="9,000"/>
        <filter val="9,200"/>
        <filter val="9,488"/>
        <filter val="9,775"/>
      </filters>
    </filterColumn>
  </autoFilter>
  <conditionalFormatting sqref="A1:A352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ahmed</dc:creator>
  <cp:lastModifiedBy>IT1</cp:lastModifiedBy>
  <dcterms:created xsi:type="dcterms:W3CDTF">2015-06-05T18:17:20Z</dcterms:created>
  <dcterms:modified xsi:type="dcterms:W3CDTF">2025-04-27T10:52:14Z</dcterms:modified>
</cp:coreProperties>
</file>